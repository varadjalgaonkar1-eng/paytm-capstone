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s" sheetId="1" state="visible" r:id="rId1"/>
    <sheet name="Fee_Tiers" sheetId="2" state="visible" r:id="rId2"/>
    <sheet name="Transactions_View" sheetId="3" state="visible" r:id="rId3"/>
    <sheet name="Pivo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merchant_name</t>
        </is>
      </c>
      <c r="C1" t="inlineStr">
        <is>
          <t>category</t>
        </is>
      </c>
      <c r="D1" t="inlineStr">
        <is>
          <t>region</t>
        </is>
      </c>
    </row>
    <row r="2">
      <c r="A2" t="n">
        <v>1</v>
      </c>
      <c r="B2" t="inlineStr">
        <is>
          <t>Merchant_001</t>
        </is>
      </c>
      <c r="C2" t="inlineStr">
        <is>
          <t>ecommerce</t>
        </is>
      </c>
      <c r="D2" t="inlineStr">
        <is>
          <t>South</t>
        </is>
      </c>
    </row>
    <row r="3">
      <c r="A3" t="n">
        <v>2</v>
      </c>
      <c r="B3" t="inlineStr">
        <is>
          <t>Merchant_002</t>
        </is>
      </c>
      <c r="C3" t="inlineStr">
        <is>
          <t>grocery</t>
        </is>
      </c>
      <c r="D3" t="inlineStr">
        <is>
          <t>West</t>
        </is>
      </c>
    </row>
    <row r="4">
      <c r="A4" t="n">
        <v>3</v>
      </c>
      <c r="B4" t="inlineStr">
        <is>
          <t>Merchant_003</t>
        </is>
      </c>
      <c r="C4" t="inlineStr">
        <is>
          <t>grocery</t>
        </is>
      </c>
      <c r="D4" t="inlineStr">
        <is>
          <t>East</t>
        </is>
      </c>
    </row>
    <row r="5">
      <c r="A5" t="n">
        <v>4</v>
      </c>
      <c r="B5" t="inlineStr">
        <is>
          <t>Merchant_004</t>
        </is>
      </c>
      <c r="C5" t="inlineStr">
        <is>
          <t>ecommerce</t>
        </is>
      </c>
      <c r="D5" t="inlineStr">
        <is>
          <t>East</t>
        </is>
      </c>
    </row>
    <row r="6">
      <c r="A6" t="n">
        <v>5</v>
      </c>
      <c r="B6" t="inlineStr">
        <is>
          <t>Merchant_005</t>
        </is>
      </c>
      <c r="C6" t="inlineStr">
        <is>
          <t>recharge</t>
        </is>
      </c>
      <c r="D6" t="inlineStr">
        <is>
          <t>South</t>
        </is>
      </c>
    </row>
    <row r="7">
      <c r="A7" t="n">
        <v>6</v>
      </c>
      <c r="B7" t="inlineStr">
        <is>
          <t>Merchant_006</t>
        </is>
      </c>
      <c r="C7" t="inlineStr">
        <is>
          <t>food_delivery</t>
        </is>
      </c>
      <c r="D7" t="inlineStr">
        <is>
          <t>South</t>
        </is>
      </c>
    </row>
    <row r="8">
      <c r="A8" t="n">
        <v>7</v>
      </c>
      <c r="B8" t="inlineStr">
        <is>
          <t>Merchant_007</t>
        </is>
      </c>
      <c r="C8" t="inlineStr">
        <is>
          <t>food_delivery</t>
        </is>
      </c>
      <c r="D8" t="inlineStr">
        <is>
          <t>East</t>
        </is>
      </c>
    </row>
    <row r="9">
      <c r="A9" t="n">
        <v>8</v>
      </c>
      <c r="B9" t="inlineStr">
        <is>
          <t>Merchant_008</t>
        </is>
      </c>
      <c r="C9" t="inlineStr">
        <is>
          <t>food_delivery</t>
        </is>
      </c>
      <c r="D9" t="inlineStr">
        <is>
          <t>North</t>
        </is>
      </c>
    </row>
    <row r="10">
      <c r="A10" t="n">
        <v>9</v>
      </c>
      <c r="B10" t="inlineStr">
        <is>
          <t>Merchant_009</t>
        </is>
      </c>
      <c r="C10" t="inlineStr">
        <is>
          <t>ecommerce</t>
        </is>
      </c>
      <c r="D10" t="inlineStr">
        <is>
          <t>North</t>
        </is>
      </c>
    </row>
    <row r="11">
      <c r="A11" t="n">
        <v>10</v>
      </c>
      <c r="B11" t="inlineStr">
        <is>
          <t>Merchant_010</t>
        </is>
      </c>
      <c r="C11" t="inlineStr">
        <is>
          <t>grocery</t>
        </is>
      </c>
      <c r="D11" t="inlineStr">
        <is>
          <t>West</t>
        </is>
      </c>
    </row>
    <row r="12">
      <c r="A12" t="n">
        <v>11</v>
      </c>
      <c r="B12" t="inlineStr">
        <is>
          <t>Merchant_011</t>
        </is>
      </c>
      <c r="C12" t="inlineStr">
        <is>
          <t>ecommerce</t>
        </is>
      </c>
      <c r="D12" t="inlineStr">
        <is>
          <t>North</t>
        </is>
      </c>
    </row>
    <row r="13">
      <c r="A13" t="n">
        <v>12</v>
      </c>
      <c r="B13" t="inlineStr">
        <is>
          <t>Merchant_012</t>
        </is>
      </c>
      <c r="C13" t="inlineStr">
        <is>
          <t>ecommerce</t>
        </is>
      </c>
      <c r="D13" t="inlineStr">
        <is>
          <t>East</t>
        </is>
      </c>
    </row>
    <row r="14">
      <c r="A14" t="n">
        <v>13</v>
      </c>
      <c r="B14" t="inlineStr">
        <is>
          <t>Merchant_013</t>
        </is>
      </c>
      <c r="C14" t="inlineStr">
        <is>
          <t>travel</t>
        </is>
      </c>
      <c r="D14" t="inlineStr">
        <is>
          <t>East</t>
        </is>
      </c>
    </row>
    <row r="15">
      <c r="A15" t="n">
        <v>14</v>
      </c>
      <c r="B15" t="inlineStr">
        <is>
          <t>Merchant_014</t>
        </is>
      </c>
      <c r="C15" t="inlineStr">
        <is>
          <t>grocery</t>
        </is>
      </c>
      <c r="D15" t="inlineStr">
        <is>
          <t>East</t>
        </is>
      </c>
    </row>
    <row r="16">
      <c r="A16" t="n">
        <v>15</v>
      </c>
      <c r="B16" t="inlineStr">
        <is>
          <t>Merchant_015</t>
        </is>
      </c>
      <c r="C16" t="inlineStr">
        <is>
          <t>travel</t>
        </is>
      </c>
      <c r="D16" t="inlineStr">
        <is>
          <t>North</t>
        </is>
      </c>
    </row>
    <row r="17">
      <c r="A17" t="n">
        <v>16</v>
      </c>
      <c r="B17" t="inlineStr">
        <is>
          <t>Merchant_016</t>
        </is>
      </c>
      <c r="C17" t="inlineStr">
        <is>
          <t>bill_payment</t>
        </is>
      </c>
      <c r="D17" t="inlineStr">
        <is>
          <t>West</t>
        </is>
      </c>
    </row>
    <row r="18">
      <c r="A18" t="n">
        <v>17</v>
      </c>
      <c r="B18" t="inlineStr">
        <is>
          <t>Merchant_017</t>
        </is>
      </c>
      <c r="C18" t="inlineStr">
        <is>
          <t>grocery</t>
        </is>
      </c>
      <c r="D18" t="inlineStr">
        <is>
          <t>North</t>
        </is>
      </c>
    </row>
    <row r="19">
      <c r="A19" t="n">
        <v>18</v>
      </c>
      <c r="B19" t="inlineStr">
        <is>
          <t>Merchant_018</t>
        </is>
      </c>
      <c r="C19" t="inlineStr">
        <is>
          <t>grocery</t>
        </is>
      </c>
      <c r="D19" t="inlineStr">
        <is>
          <t>West</t>
        </is>
      </c>
    </row>
    <row r="20">
      <c r="A20" t="n">
        <v>19</v>
      </c>
      <c r="B20" t="inlineStr">
        <is>
          <t>Merchant_019</t>
        </is>
      </c>
      <c r="C20" t="inlineStr">
        <is>
          <t>grocery</t>
        </is>
      </c>
      <c r="D20" t="inlineStr">
        <is>
          <t>North</t>
        </is>
      </c>
    </row>
    <row r="21">
      <c r="A21" t="n">
        <v>20</v>
      </c>
      <c r="B21" t="inlineStr">
        <is>
          <t>Merchant_020</t>
        </is>
      </c>
      <c r="C21" t="inlineStr">
        <is>
          <t>food_delivery</t>
        </is>
      </c>
      <c r="D21" t="inlineStr">
        <is>
          <t>East</t>
        </is>
      </c>
    </row>
    <row r="22">
      <c r="A22" t="n">
        <v>21</v>
      </c>
      <c r="B22" t="inlineStr">
        <is>
          <t>Merchant_021</t>
        </is>
      </c>
      <c r="C22" t="inlineStr">
        <is>
          <t>food_delivery</t>
        </is>
      </c>
      <c r="D22" t="inlineStr">
        <is>
          <t>East</t>
        </is>
      </c>
    </row>
    <row r="23">
      <c r="A23" t="n">
        <v>22</v>
      </c>
      <c r="B23" t="inlineStr">
        <is>
          <t>Merchant_022</t>
        </is>
      </c>
      <c r="C23" t="inlineStr">
        <is>
          <t>travel</t>
        </is>
      </c>
      <c r="D23" t="inlineStr">
        <is>
          <t>South</t>
        </is>
      </c>
    </row>
    <row r="24">
      <c r="A24" t="n">
        <v>23</v>
      </c>
      <c r="B24" t="inlineStr">
        <is>
          <t>Merchant_023</t>
        </is>
      </c>
      <c r="C24" t="inlineStr">
        <is>
          <t>travel</t>
        </is>
      </c>
      <c r="D24" t="inlineStr">
        <is>
          <t>North</t>
        </is>
      </c>
    </row>
    <row r="25">
      <c r="A25" t="n">
        <v>24</v>
      </c>
      <c r="B25" t="inlineStr">
        <is>
          <t>Merchant_024</t>
        </is>
      </c>
      <c r="C25" t="inlineStr">
        <is>
          <t>grocery</t>
        </is>
      </c>
      <c r="D25" t="inlineStr">
        <is>
          <t>North</t>
        </is>
      </c>
    </row>
    <row r="26">
      <c r="A26" t="n">
        <v>25</v>
      </c>
      <c r="B26" t="inlineStr">
        <is>
          <t>Merchant_025</t>
        </is>
      </c>
      <c r="C26" t="inlineStr">
        <is>
          <t>travel</t>
        </is>
      </c>
      <c r="D26" t="inlineStr">
        <is>
          <t>South</t>
        </is>
      </c>
    </row>
    <row r="27">
      <c r="A27" t="n">
        <v>26</v>
      </c>
      <c r="B27" t="inlineStr">
        <is>
          <t>Merchant_026</t>
        </is>
      </c>
      <c r="C27" t="inlineStr">
        <is>
          <t>food_delivery</t>
        </is>
      </c>
      <c r="D27" t="inlineStr">
        <is>
          <t>East</t>
        </is>
      </c>
    </row>
    <row r="28">
      <c r="A28" t="n">
        <v>27</v>
      </c>
      <c r="B28" t="inlineStr">
        <is>
          <t>Merchant_027</t>
        </is>
      </c>
      <c r="C28" t="inlineStr">
        <is>
          <t>ecommerce</t>
        </is>
      </c>
      <c r="D28" t="inlineStr">
        <is>
          <t>North</t>
        </is>
      </c>
    </row>
    <row r="29">
      <c r="A29" t="n">
        <v>28</v>
      </c>
      <c r="B29" t="inlineStr">
        <is>
          <t>Merchant_028</t>
        </is>
      </c>
      <c r="C29" t="inlineStr">
        <is>
          <t>ecommerce</t>
        </is>
      </c>
      <c r="D29" t="inlineStr">
        <is>
          <t>South</t>
        </is>
      </c>
    </row>
    <row r="30">
      <c r="A30" t="n">
        <v>29</v>
      </c>
      <c r="B30" t="inlineStr">
        <is>
          <t>Merchant_029</t>
        </is>
      </c>
      <c r="C30" t="inlineStr">
        <is>
          <t>ecommerce</t>
        </is>
      </c>
      <c r="D30" t="inlineStr">
        <is>
          <t>North</t>
        </is>
      </c>
    </row>
    <row r="31">
      <c r="A31" t="n">
        <v>30</v>
      </c>
      <c r="B31" t="inlineStr">
        <is>
          <t>Merchant_030</t>
        </is>
      </c>
      <c r="C31" t="inlineStr">
        <is>
          <t>travel</t>
        </is>
      </c>
      <c r="D31" t="inlineStr">
        <is>
          <t>West</t>
        </is>
      </c>
    </row>
    <row r="32">
      <c r="A32" t="n">
        <v>31</v>
      </c>
      <c r="B32" t="inlineStr">
        <is>
          <t>Merchant_031</t>
        </is>
      </c>
      <c r="C32" t="inlineStr">
        <is>
          <t>bill_payment</t>
        </is>
      </c>
      <c r="D32" t="inlineStr">
        <is>
          <t>East</t>
        </is>
      </c>
    </row>
    <row r="33">
      <c r="A33" t="n">
        <v>32</v>
      </c>
      <c r="B33" t="inlineStr">
        <is>
          <t>Merchant_032</t>
        </is>
      </c>
      <c r="C33" t="inlineStr">
        <is>
          <t>food_delivery</t>
        </is>
      </c>
      <c r="D33" t="inlineStr">
        <is>
          <t>West</t>
        </is>
      </c>
    </row>
    <row r="34">
      <c r="A34" t="n">
        <v>33</v>
      </c>
      <c r="B34" t="inlineStr">
        <is>
          <t>Merchant_033</t>
        </is>
      </c>
      <c r="C34" t="inlineStr">
        <is>
          <t>bill_payment</t>
        </is>
      </c>
      <c r="D34" t="inlineStr">
        <is>
          <t>East</t>
        </is>
      </c>
    </row>
    <row r="35">
      <c r="A35" t="n">
        <v>34</v>
      </c>
      <c r="B35" t="inlineStr">
        <is>
          <t>Merchant_034</t>
        </is>
      </c>
      <c r="C35" t="inlineStr">
        <is>
          <t>travel</t>
        </is>
      </c>
      <c r="D35" t="inlineStr">
        <is>
          <t>South</t>
        </is>
      </c>
    </row>
    <row r="36">
      <c r="A36" t="n">
        <v>35</v>
      </c>
      <c r="B36" t="inlineStr">
        <is>
          <t>Merchant_035</t>
        </is>
      </c>
      <c r="C36" t="inlineStr">
        <is>
          <t>recharge</t>
        </is>
      </c>
      <c r="D36" t="inlineStr">
        <is>
          <t>East</t>
        </is>
      </c>
    </row>
    <row r="37">
      <c r="A37" t="n">
        <v>36</v>
      </c>
      <c r="B37" t="inlineStr">
        <is>
          <t>Merchant_036</t>
        </is>
      </c>
      <c r="C37" t="inlineStr">
        <is>
          <t>entertainment</t>
        </is>
      </c>
      <c r="D37" t="inlineStr">
        <is>
          <t>East</t>
        </is>
      </c>
    </row>
    <row r="38">
      <c r="A38" t="n">
        <v>37</v>
      </c>
      <c r="B38" t="inlineStr">
        <is>
          <t>Merchant_037</t>
        </is>
      </c>
      <c r="C38" t="inlineStr">
        <is>
          <t>entertainment</t>
        </is>
      </c>
      <c r="D38" t="inlineStr">
        <is>
          <t>South</t>
        </is>
      </c>
    </row>
    <row r="39">
      <c r="A39" t="n">
        <v>38</v>
      </c>
      <c r="B39" t="inlineStr">
        <is>
          <t>Merchant_038</t>
        </is>
      </c>
      <c r="C39" t="inlineStr">
        <is>
          <t>grocery</t>
        </is>
      </c>
      <c r="D39" t="inlineStr">
        <is>
          <t>East</t>
        </is>
      </c>
    </row>
    <row r="40">
      <c r="A40" t="n">
        <v>39</v>
      </c>
      <c r="B40" t="inlineStr">
        <is>
          <t>Merchant_039</t>
        </is>
      </c>
      <c r="C40" t="inlineStr">
        <is>
          <t>entertainment</t>
        </is>
      </c>
      <c r="D40" t="inlineStr">
        <is>
          <t>North</t>
        </is>
      </c>
    </row>
    <row r="41">
      <c r="A41" t="n">
        <v>40</v>
      </c>
      <c r="B41" t="inlineStr">
        <is>
          <t>Merchant_040</t>
        </is>
      </c>
      <c r="C41" t="inlineStr">
        <is>
          <t>entertainment</t>
        </is>
      </c>
      <c r="D4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Method</t>
        </is>
      </c>
      <c r="B1" t="inlineStr">
        <is>
          <t>UPI</t>
        </is>
      </c>
      <c r="C1" t="inlineStr">
        <is>
          <t>Wallet</t>
        </is>
      </c>
      <c r="D1" t="inlineStr">
        <is>
          <t>Card</t>
        </is>
      </c>
      <c r="E1" t="inlineStr">
        <is>
          <t>Netbanking</t>
        </is>
      </c>
    </row>
    <row r="2">
      <c r="A2" t="inlineStr">
        <is>
          <t>MDR Rate</t>
        </is>
      </c>
      <c r="B2" t="n">
        <v>0</v>
      </c>
      <c r="C2" t="n">
        <v>0.015</v>
      </c>
      <c r="D2" t="n">
        <v>0.02</v>
      </c>
      <c r="E2" t="n">
        <v>0.012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merchant_id</t>
        </is>
      </c>
      <c r="D1" t="inlineStr">
        <is>
          <t>transaction_time</t>
        </is>
      </c>
      <c r="E1" t="inlineStr">
        <is>
          <t>amount_inr</t>
        </is>
      </c>
      <c r="F1" t="inlineStr">
        <is>
          <t>payment_method</t>
        </is>
      </c>
      <c r="G1" t="inlineStr">
        <is>
          <t>status</t>
        </is>
      </c>
      <c r="H1" t="inlineStr">
        <is>
          <t>risk_score</t>
        </is>
      </c>
      <c r="I1" t="inlineStr">
        <is>
          <t>merchant_name</t>
        </is>
      </c>
      <c r="J1" t="inlineStr">
        <is>
          <t>category</t>
        </is>
      </c>
      <c r="K1" t="inlineStr">
        <is>
          <t>region</t>
        </is>
      </c>
      <c r="L1" t="inlineStr">
        <is>
          <t>mdr_rate</t>
        </is>
      </c>
      <c r="M1" t="inlineStr">
        <is>
          <t>high_value_merchant_day</t>
        </is>
      </c>
    </row>
    <row r="2">
      <c r="A2" t="inlineStr">
        <is>
          <t>TXN100000</t>
        </is>
      </c>
      <c r="B2" t="n">
        <v>350</v>
      </c>
      <c r="C2" t="n">
        <v>16</v>
      </c>
      <c r="D2" t="inlineStr">
        <is>
          <t>2026-01-29 11:13:00</t>
        </is>
      </c>
      <c r="E2" t="n">
        <v>2999</v>
      </c>
      <c r="F2" t="inlineStr">
        <is>
          <t>Wallet</t>
        </is>
      </c>
      <c r="G2" t="inlineStr">
        <is>
          <t>captured</t>
        </is>
      </c>
      <c r="H2" t="n">
        <v>85</v>
      </c>
      <c r="I2">
        <f>IFERROR(VLOOKUP(C2, Merchants!$A$2:$D$41, 2, FALSE), "Merchant not found")</f>
        <v/>
      </c>
      <c r="J2">
        <f>IFERROR(VLOOKUP(C2, Merchants!$A$2:$D$41, 3, FALSE), "Merchant not found")</f>
        <v/>
      </c>
      <c r="K2">
        <f>IFERROR(VLOOKUP(C2, Merchants!$A$2:$D$41, 4, FALSE), "Merchant not found")</f>
        <v/>
      </c>
      <c r="L2">
        <f>HLOOKUP(F2, Fee_Tiers!$B$1:$E$2, 2, FALSE)</f>
        <v/>
      </c>
      <c r="M2">
        <f>IF(AND(E2&gt;5000, K2&lt;&gt;"&gt;East"), "High-Value Merchant Day", "Standard")</f>
        <v/>
      </c>
    </row>
    <row r="3">
      <c r="A3" t="inlineStr">
        <is>
          <t>TXN100001</t>
        </is>
      </c>
      <c r="B3" t="n">
        <v>287</v>
      </c>
      <c r="C3" t="n">
        <v>27</v>
      </c>
      <c r="D3" t="inlineStr">
        <is>
          <t>2026-01-04 11:49:00</t>
        </is>
      </c>
      <c r="E3" t="n">
        <v>49</v>
      </c>
      <c r="F3" t="inlineStr">
        <is>
          <t>UPI</t>
        </is>
      </c>
      <c r="G3" t="inlineStr">
        <is>
          <t>captured</t>
        </is>
      </c>
      <c r="H3" t="n">
        <v>79</v>
      </c>
      <c r="I3">
        <f>IFERROR(VLOOKUP(C3, Merchants!$A$2:$D$41, 2, FALSE), "Merchant not found")</f>
        <v/>
      </c>
      <c r="J3">
        <f>IFERROR(VLOOKUP(C3, Merchants!$A$2:$D$41, 3, FALSE), "Merchant not found")</f>
        <v/>
      </c>
      <c r="K3">
        <f>IFERROR(VLOOKUP(C3, Merchants!$A$2:$D$41, 4, FALSE), "Merchant not found")</f>
        <v/>
      </c>
      <c r="L3">
        <f>HLOOKUP(F3, Fee_Tiers!$B$1:$E$2, 2, FALSE)</f>
        <v/>
      </c>
      <c r="M3">
        <f>IF(AND(E3&gt;5000, K3&lt;&gt;"&gt;East"), "High-Value Merchant Day", "Standard")</f>
        <v/>
      </c>
    </row>
    <row r="4">
      <c r="A4" t="inlineStr">
        <is>
          <t>TXN100002</t>
        </is>
      </c>
      <c r="B4" t="n">
        <v>122</v>
      </c>
      <c r="C4" t="n">
        <v>11</v>
      </c>
      <c r="D4" t="inlineStr">
        <is>
          <t>2026-01-24 04:59:00</t>
        </is>
      </c>
      <c r="E4" t="n">
        <v>1499</v>
      </c>
      <c r="F4" t="inlineStr">
        <is>
          <t>Wallet</t>
        </is>
      </c>
      <c r="G4" t="inlineStr">
        <is>
          <t>captured</t>
        </is>
      </c>
      <c r="H4" t="n">
        <v>22</v>
      </c>
      <c r="I4">
        <f>IFERROR(VLOOKUP(C4, Merchants!$A$2:$D$41, 2, FALSE), "Merchant not found")</f>
        <v/>
      </c>
      <c r="J4">
        <f>IFERROR(VLOOKUP(C4, Merchants!$A$2:$D$41, 3, FALSE), "Merchant not found")</f>
        <v/>
      </c>
      <c r="K4">
        <f>IFERROR(VLOOKUP(C4, Merchants!$A$2:$D$41, 4, FALSE), "Merchant not found")</f>
        <v/>
      </c>
      <c r="L4">
        <f>HLOOKUP(F4, Fee_Tiers!$B$1:$E$2, 2, FALSE)</f>
        <v/>
      </c>
      <c r="M4">
        <f>IF(AND(E4&gt;5000, K4&lt;&gt;"&gt;East"), "High-Value Merchant Day", "Standard")</f>
        <v/>
      </c>
    </row>
    <row r="5">
      <c r="A5" t="inlineStr">
        <is>
          <t>TXN100003</t>
        </is>
      </c>
      <c r="B5" t="n">
        <v>92</v>
      </c>
      <c r="C5" t="n">
        <v>22</v>
      </c>
      <c r="D5" t="inlineStr">
        <is>
          <t>2026-01-29 13:01:00</t>
        </is>
      </c>
      <c r="E5" t="n">
        <v>49</v>
      </c>
      <c r="F5" t="inlineStr">
        <is>
          <t>Netbanking</t>
        </is>
      </c>
      <c r="G5" t="inlineStr">
        <is>
          <t>captured</t>
        </is>
      </c>
      <c r="H5" t="n">
        <v>100</v>
      </c>
      <c r="I5">
        <f>IFERROR(VLOOKUP(C5, Merchants!$A$2:$D$41, 2, FALSE), "Merchant not found")</f>
        <v/>
      </c>
      <c r="J5">
        <f>IFERROR(VLOOKUP(C5, Merchants!$A$2:$D$41, 3, FALSE), "Merchant not found")</f>
        <v/>
      </c>
      <c r="K5">
        <f>IFERROR(VLOOKUP(C5, Merchants!$A$2:$D$41, 4, FALSE), "Merchant not found")</f>
        <v/>
      </c>
      <c r="L5">
        <f>HLOOKUP(F5, Fee_Tiers!$B$1:$E$2, 2, FALSE)</f>
        <v/>
      </c>
      <c r="M5">
        <f>IF(AND(E5&gt;5000, K5&lt;&gt;"&gt;East"), "High-Value Merchant Day", "Standard")</f>
        <v/>
      </c>
    </row>
    <row r="6">
      <c r="A6" t="inlineStr">
        <is>
          <t>TXN100004</t>
        </is>
      </c>
      <c r="B6" t="n">
        <v>343</v>
      </c>
      <c r="C6" t="n">
        <v>16</v>
      </c>
      <c r="D6" t="inlineStr">
        <is>
          <t>2026-01-30 13:51:00</t>
        </is>
      </c>
      <c r="E6" t="n">
        <v>99</v>
      </c>
      <c r="F6" t="inlineStr">
        <is>
          <t>UPI</t>
        </is>
      </c>
      <c r="G6" t="inlineStr">
        <is>
          <t>captured</t>
        </is>
      </c>
      <c r="H6" t="n">
        <v>34</v>
      </c>
      <c r="I6">
        <f>IFERROR(VLOOKUP(C6, Merchants!$A$2:$D$41, 2, FALSE), "Merchant not found")</f>
        <v/>
      </c>
      <c r="J6">
        <f>IFERROR(VLOOKUP(C6, Merchants!$A$2:$D$41, 3, FALSE), "Merchant not found")</f>
        <v/>
      </c>
      <c r="K6">
        <f>IFERROR(VLOOKUP(C6, Merchants!$A$2:$D$41, 4, FALSE), "Merchant not found")</f>
        <v/>
      </c>
      <c r="L6">
        <f>HLOOKUP(F6, Fee_Tiers!$B$1:$E$2, 2, FALSE)</f>
        <v/>
      </c>
      <c r="M6">
        <f>IF(AND(E6&gt;5000, K6&lt;&gt;"&gt;East"), "High-Value Merchant Day", "Standard")</f>
        <v/>
      </c>
    </row>
    <row r="7">
      <c r="A7" t="inlineStr">
        <is>
          <t>TXN100005</t>
        </is>
      </c>
      <c r="B7" t="n">
        <v>196</v>
      </c>
      <c r="C7" t="n">
        <v>3</v>
      </c>
      <c r="D7" t="inlineStr">
        <is>
          <t>2026-01-06 22:06:00</t>
        </is>
      </c>
      <c r="E7" t="n">
        <v>99</v>
      </c>
      <c r="F7" t="inlineStr">
        <is>
          <t>UPI</t>
        </is>
      </c>
      <c r="G7" t="inlineStr">
        <is>
          <t>captured</t>
        </is>
      </c>
      <c r="H7" t="n">
        <v>60</v>
      </c>
      <c r="I7">
        <f>IFERROR(VLOOKUP(C7, Merchants!$A$2:$D$41, 2, FALSE), "Merchant not found")</f>
        <v/>
      </c>
      <c r="J7">
        <f>IFERROR(VLOOKUP(C7, Merchants!$A$2:$D$41, 3, FALSE), "Merchant not found")</f>
        <v/>
      </c>
      <c r="K7">
        <f>IFERROR(VLOOKUP(C7, Merchants!$A$2:$D$41, 4, FALSE), "Merchant not found")</f>
        <v/>
      </c>
      <c r="L7">
        <f>HLOOKUP(F7, Fee_Tiers!$B$1:$E$2, 2, FALSE)</f>
        <v/>
      </c>
      <c r="M7">
        <f>IF(AND(E7&gt;5000, K7&lt;&gt;"&gt;East"), "High-Value Merchant Day", "Standard")</f>
        <v/>
      </c>
    </row>
    <row r="8">
      <c r="A8" t="inlineStr">
        <is>
          <t>TXN100006</t>
        </is>
      </c>
      <c r="B8" t="n">
        <v>236</v>
      </c>
      <c r="C8" t="n">
        <v>23</v>
      </c>
      <c r="D8" t="inlineStr">
        <is>
          <t>2026-01-08 06:52:00</t>
        </is>
      </c>
      <c r="E8" t="n">
        <v>99</v>
      </c>
      <c r="F8" t="inlineStr">
        <is>
          <t>Wallet</t>
        </is>
      </c>
      <c r="G8" t="inlineStr">
        <is>
          <t>captured</t>
        </is>
      </c>
      <c r="H8" t="n">
        <v>39</v>
      </c>
      <c r="I8">
        <f>IFERROR(VLOOKUP(C8, Merchants!$A$2:$D$41, 2, FALSE), "Merchant not found")</f>
        <v/>
      </c>
      <c r="J8">
        <f>IFERROR(VLOOKUP(C8, Merchants!$A$2:$D$41, 3, FALSE), "Merchant not found")</f>
        <v/>
      </c>
      <c r="K8">
        <f>IFERROR(VLOOKUP(C8, Merchants!$A$2:$D$41, 4, FALSE), "Merchant not found")</f>
        <v/>
      </c>
      <c r="L8">
        <f>HLOOKUP(F8, Fee_Tiers!$B$1:$E$2, 2, FALSE)</f>
        <v/>
      </c>
      <c r="M8">
        <f>IF(AND(E8&gt;5000, K8&lt;&gt;"&gt;East"), "High-Value Merchant Day", "Standard")</f>
        <v/>
      </c>
    </row>
    <row r="9">
      <c r="A9" t="inlineStr">
        <is>
          <t>TXN100007</t>
        </is>
      </c>
      <c r="B9" t="n">
        <v>13</v>
      </c>
      <c r="C9" t="n">
        <v>13</v>
      </c>
      <c r="D9" t="inlineStr">
        <is>
          <t>2026-01-27 07:14:00</t>
        </is>
      </c>
      <c r="E9" t="n">
        <v>99</v>
      </c>
      <c r="F9" t="inlineStr">
        <is>
          <t>UPI</t>
        </is>
      </c>
      <c r="G9" t="inlineStr">
        <is>
          <t>captured</t>
        </is>
      </c>
      <c r="H9" t="n">
        <v>51</v>
      </c>
      <c r="I9">
        <f>IFERROR(VLOOKUP(C9, Merchants!$A$2:$D$41, 2, FALSE), "Merchant not found")</f>
        <v/>
      </c>
      <c r="J9">
        <f>IFERROR(VLOOKUP(C9, Merchants!$A$2:$D$41, 3, FALSE), "Merchant not found")</f>
        <v/>
      </c>
      <c r="K9">
        <f>IFERROR(VLOOKUP(C9, Merchants!$A$2:$D$41, 4, FALSE), "Merchant not found")</f>
        <v/>
      </c>
      <c r="L9">
        <f>HLOOKUP(F9, Fee_Tiers!$B$1:$E$2, 2, FALSE)</f>
        <v/>
      </c>
      <c r="M9">
        <f>IF(AND(E9&gt;5000, K9&lt;&gt;"&gt;East"), "High-Value Merchant Day", "Standard")</f>
        <v/>
      </c>
    </row>
    <row r="10">
      <c r="A10" t="inlineStr">
        <is>
          <t>TXN100008</t>
        </is>
      </c>
      <c r="B10" t="n">
        <v>36</v>
      </c>
      <c r="C10" t="n">
        <v>18</v>
      </c>
      <c r="D10" t="inlineStr">
        <is>
          <t>2026-01-11 08:55:00</t>
        </is>
      </c>
      <c r="E10" t="n">
        <v>799</v>
      </c>
      <c r="F10" t="inlineStr">
        <is>
          <t>UPI</t>
        </is>
      </c>
      <c r="G10" t="inlineStr">
        <is>
          <t>captured</t>
        </is>
      </c>
      <c r="H10" t="n">
        <v>44</v>
      </c>
      <c r="I10">
        <f>IFERROR(VLOOKUP(C10, Merchants!$A$2:$D$41, 2, FALSE), "Merchant not found")</f>
        <v/>
      </c>
      <c r="J10">
        <f>IFERROR(VLOOKUP(C10, Merchants!$A$2:$D$41, 3, FALSE), "Merchant not found")</f>
        <v/>
      </c>
      <c r="K10">
        <f>IFERROR(VLOOKUP(C10, Merchants!$A$2:$D$41, 4, FALSE), "Merchant not found")</f>
        <v/>
      </c>
      <c r="L10">
        <f>HLOOKUP(F10, Fee_Tiers!$B$1:$E$2, 2, FALSE)</f>
        <v/>
      </c>
      <c r="M10">
        <f>IF(AND(E10&gt;5000, K10&lt;&gt;"&gt;East"), "High-Value Merchant Day", "Standard")</f>
        <v/>
      </c>
    </row>
    <row r="11">
      <c r="A11" t="inlineStr">
        <is>
          <t>TXN100009</t>
        </is>
      </c>
      <c r="B11" t="n">
        <v>348</v>
      </c>
      <c r="C11" t="n">
        <v>35</v>
      </c>
      <c r="D11" t="inlineStr">
        <is>
          <t>2026-01-21 16:25:00</t>
        </is>
      </c>
      <c r="E11" t="n">
        <v>299</v>
      </c>
      <c r="F11" t="inlineStr">
        <is>
          <t>UPI</t>
        </is>
      </c>
      <c r="G11" t="inlineStr">
        <is>
          <t>captured</t>
        </is>
      </c>
      <c r="H11" t="n">
        <v>42</v>
      </c>
      <c r="I11">
        <f>IFERROR(VLOOKUP(C11, Merchants!$A$2:$D$41, 2, FALSE), "Merchant not found")</f>
        <v/>
      </c>
      <c r="J11">
        <f>IFERROR(VLOOKUP(C11, Merchants!$A$2:$D$41, 3, FALSE), "Merchant not found")</f>
        <v/>
      </c>
      <c r="K11">
        <f>IFERROR(VLOOKUP(C11, Merchants!$A$2:$D$41, 4, FALSE), "Merchant not found")</f>
        <v/>
      </c>
      <c r="L11">
        <f>HLOOKUP(F11, Fee_Tiers!$B$1:$E$2, 2, FALSE)</f>
        <v/>
      </c>
      <c r="M11">
        <f>IF(AND(E11&gt;5000, K11&lt;&gt;"&gt;East"), "High-Value Merchant Day", "Standard")</f>
        <v/>
      </c>
    </row>
    <row r="12">
      <c r="A12" t="inlineStr">
        <is>
          <t>TXN100010</t>
        </is>
      </c>
      <c r="B12" t="n">
        <v>134</v>
      </c>
      <c r="C12" t="n">
        <v>12</v>
      </c>
      <c r="D12" t="inlineStr">
        <is>
          <t>2026-01-01 03:56:00</t>
        </is>
      </c>
      <c r="E12" t="n">
        <v>49</v>
      </c>
      <c r="F12" t="inlineStr">
        <is>
          <t>UPI</t>
        </is>
      </c>
      <c r="G12" t="inlineStr">
        <is>
          <t>captured</t>
        </is>
      </c>
      <c r="H12" t="n">
        <v>74</v>
      </c>
      <c r="I12">
        <f>IFERROR(VLOOKUP(C12, Merchants!$A$2:$D$41, 2, FALSE), "Merchant not found")</f>
        <v/>
      </c>
      <c r="J12">
        <f>IFERROR(VLOOKUP(C12, Merchants!$A$2:$D$41, 3, FALSE), "Merchant not found")</f>
        <v/>
      </c>
      <c r="K12">
        <f>IFERROR(VLOOKUP(C12, Merchants!$A$2:$D$41, 4, FALSE), "Merchant not found")</f>
        <v/>
      </c>
      <c r="L12">
        <f>HLOOKUP(F12, Fee_Tiers!$B$1:$E$2, 2, FALSE)</f>
        <v/>
      </c>
      <c r="M12">
        <f>IF(AND(E12&gt;5000, K12&lt;&gt;"&gt;East"), "High-Value Merchant Day", "Standard")</f>
        <v/>
      </c>
    </row>
    <row r="13">
      <c r="A13" t="inlineStr">
        <is>
          <t>TXN100011</t>
        </is>
      </c>
      <c r="B13" t="n">
        <v>306</v>
      </c>
      <c r="C13" t="n">
        <v>28</v>
      </c>
      <c r="D13" t="inlineStr">
        <is>
          <t>2026-01-09 01:06:00</t>
        </is>
      </c>
      <c r="E13" t="n">
        <v>2999</v>
      </c>
      <c r="F13" t="inlineStr">
        <is>
          <t>Card</t>
        </is>
      </c>
      <c r="G13" t="inlineStr">
        <is>
          <t>failed</t>
        </is>
      </c>
      <c r="H13" t="n">
        <v>44</v>
      </c>
      <c r="I13">
        <f>IFERROR(VLOOKUP(C13, Merchants!$A$2:$D$41, 2, FALSE), "Merchant not found")</f>
        <v/>
      </c>
      <c r="J13">
        <f>IFERROR(VLOOKUP(C13, Merchants!$A$2:$D$41, 3, FALSE), "Merchant not found")</f>
        <v/>
      </c>
      <c r="K13">
        <f>IFERROR(VLOOKUP(C13, Merchants!$A$2:$D$41, 4, FALSE), "Merchant not found")</f>
        <v/>
      </c>
      <c r="L13">
        <f>HLOOKUP(F13, Fee_Tiers!$B$1:$E$2, 2, FALSE)</f>
        <v/>
      </c>
      <c r="M13">
        <f>IF(AND(E13&gt;5000, K13&lt;&gt;"&gt;East"), "High-Value Merchant Day", "Standard")</f>
        <v/>
      </c>
    </row>
    <row r="14">
      <c r="A14" t="inlineStr">
        <is>
          <t>TXN100012</t>
        </is>
      </c>
      <c r="B14" t="n">
        <v>311</v>
      </c>
      <c r="C14" t="n">
        <v>33</v>
      </c>
      <c r="D14" t="inlineStr">
        <is>
          <t>2026-01-24 10:27:00</t>
        </is>
      </c>
      <c r="E14" t="n">
        <v>49</v>
      </c>
      <c r="F14" t="inlineStr">
        <is>
          <t>Wallet</t>
        </is>
      </c>
      <c r="G14" t="inlineStr">
        <is>
          <t>captured</t>
        </is>
      </c>
      <c r="H14" t="n">
        <v>14</v>
      </c>
      <c r="I14">
        <f>IFERROR(VLOOKUP(C14, Merchants!$A$2:$D$41, 2, FALSE), "Merchant not found")</f>
        <v/>
      </c>
      <c r="J14">
        <f>IFERROR(VLOOKUP(C14, Merchants!$A$2:$D$41, 3, FALSE), "Merchant not found")</f>
        <v/>
      </c>
      <c r="K14">
        <f>IFERROR(VLOOKUP(C14, Merchants!$A$2:$D$41, 4, FALSE), "Merchant not found")</f>
        <v/>
      </c>
      <c r="L14">
        <f>HLOOKUP(F14, Fee_Tiers!$B$1:$E$2, 2, FALSE)</f>
        <v/>
      </c>
      <c r="M14">
        <f>IF(AND(E14&gt;5000, K14&lt;&gt;"&gt;East"), "High-Value Merchant Day", "Standard")</f>
        <v/>
      </c>
    </row>
    <row r="15">
      <c r="A15" t="inlineStr">
        <is>
          <t>TXN100013</t>
        </is>
      </c>
      <c r="B15" t="n">
        <v>131</v>
      </c>
      <c r="C15" t="n">
        <v>3</v>
      </c>
      <c r="D15" t="inlineStr">
        <is>
          <t>2026-01-13 18:12:00</t>
        </is>
      </c>
      <c r="E15" t="n">
        <v>49</v>
      </c>
      <c r="F15" t="inlineStr">
        <is>
          <t>UPI</t>
        </is>
      </c>
      <c r="G15" t="inlineStr">
        <is>
          <t>captured</t>
        </is>
      </c>
      <c r="H15" t="n">
        <v>90</v>
      </c>
      <c r="I15">
        <f>IFERROR(VLOOKUP(C15, Merchants!$A$2:$D$41, 2, FALSE), "Merchant not found")</f>
        <v/>
      </c>
      <c r="J15">
        <f>IFERROR(VLOOKUP(C15, Merchants!$A$2:$D$41, 3, FALSE), "Merchant not found")</f>
        <v/>
      </c>
      <c r="K15">
        <f>IFERROR(VLOOKUP(C15, Merchants!$A$2:$D$41, 4, FALSE), "Merchant not found")</f>
        <v/>
      </c>
      <c r="L15">
        <f>HLOOKUP(F15, Fee_Tiers!$B$1:$E$2, 2, FALSE)</f>
        <v/>
      </c>
      <c r="M15">
        <f>IF(AND(E15&gt;5000, K15&lt;&gt;"&gt;East"), "High-Value Merchant Day", "Standard")</f>
        <v/>
      </c>
    </row>
    <row r="16">
      <c r="A16" t="inlineStr">
        <is>
          <t>TXN100014</t>
        </is>
      </c>
      <c r="B16" t="n">
        <v>276</v>
      </c>
      <c r="C16" t="n">
        <v>13</v>
      </c>
      <c r="D16" t="inlineStr">
        <is>
          <t>2026-01-14 00:33:00</t>
        </is>
      </c>
      <c r="E16" t="n">
        <v>1499</v>
      </c>
      <c r="F16" t="inlineStr">
        <is>
          <t>UPI</t>
        </is>
      </c>
      <c r="G16" t="inlineStr">
        <is>
          <t>captured</t>
        </is>
      </c>
      <c r="H16" t="n">
        <v>46</v>
      </c>
      <c r="I16">
        <f>IFERROR(VLOOKUP(C16, Merchants!$A$2:$D$41, 2, FALSE), "Merchant not found")</f>
        <v/>
      </c>
      <c r="J16">
        <f>IFERROR(VLOOKUP(C16, Merchants!$A$2:$D$41, 3, FALSE), "Merchant not found")</f>
        <v/>
      </c>
      <c r="K16">
        <f>IFERROR(VLOOKUP(C16, Merchants!$A$2:$D$41, 4, FALSE), "Merchant not found")</f>
        <v/>
      </c>
      <c r="L16">
        <f>HLOOKUP(F16, Fee_Tiers!$B$1:$E$2, 2, FALSE)</f>
        <v/>
      </c>
      <c r="M16">
        <f>IF(AND(E16&gt;5000, K16&lt;&gt;"&gt;East"), "High-Value Merchant Day", "Standard")</f>
        <v/>
      </c>
    </row>
    <row r="17">
      <c r="A17" t="inlineStr">
        <is>
          <t>TXN100015</t>
        </is>
      </c>
      <c r="B17" t="n">
        <v>170</v>
      </c>
      <c r="C17" t="n">
        <v>40</v>
      </c>
      <c r="D17" t="inlineStr">
        <is>
          <t>2026-01-14 02:42:00</t>
        </is>
      </c>
      <c r="E17" t="n">
        <v>99</v>
      </c>
      <c r="F17" t="inlineStr">
        <is>
          <t>UPI</t>
        </is>
      </c>
      <c r="G17" t="inlineStr">
        <is>
          <t>captured</t>
        </is>
      </c>
      <c r="H17" t="n">
        <v>40</v>
      </c>
      <c r="I17">
        <f>IFERROR(VLOOKUP(C17, Merchants!$A$2:$D$41, 2, FALSE), "Merchant not found")</f>
        <v/>
      </c>
      <c r="J17">
        <f>IFERROR(VLOOKUP(C17, Merchants!$A$2:$D$41, 3, FALSE), "Merchant not found")</f>
        <v/>
      </c>
      <c r="K17">
        <f>IFERROR(VLOOKUP(C17, Merchants!$A$2:$D$41, 4, FALSE), "Merchant not found")</f>
        <v/>
      </c>
      <c r="L17">
        <f>HLOOKUP(F17, Fee_Tiers!$B$1:$E$2, 2, FALSE)</f>
        <v/>
      </c>
      <c r="M17">
        <f>IF(AND(E17&gt;5000, K17&lt;&gt;"&gt;East"), "High-Value Merchant Day", "Standard")</f>
        <v/>
      </c>
    </row>
    <row r="18">
      <c r="A18" t="inlineStr">
        <is>
          <t>TXN100016</t>
        </is>
      </c>
      <c r="B18" t="n">
        <v>154</v>
      </c>
      <c r="C18" t="n">
        <v>33</v>
      </c>
      <c r="D18" t="inlineStr">
        <is>
          <t>2026-01-22 03:46:00</t>
        </is>
      </c>
      <c r="E18" t="n">
        <v>99</v>
      </c>
      <c r="F18" t="inlineStr">
        <is>
          <t>Netbanking</t>
        </is>
      </c>
      <c r="G18" t="inlineStr">
        <is>
          <t>captured</t>
        </is>
      </c>
      <c r="H18" t="n">
        <v>39</v>
      </c>
      <c r="I18">
        <f>IFERROR(VLOOKUP(C18, Merchants!$A$2:$D$41, 2, FALSE), "Merchant not found")</f>
        <v/>
      </c>
      <c r="J18">
        <f>IFERROR(VLOOKUP(C18, Merchants!$A$2:$D$41, 3, FALSE), "Merchant not found")</f>
        <v/>
      </c>
      <c r="K18">
        <f>IFERROR(VLOOKUP(C18, Merchants!$A$2:$D$41, 4, FALSE), "Merchant not found")</f>
        <v/>
      </c>
      <c r="L18">
        <f>HLOOKUP(F18, Fee_Tiers!$B$1:$E$2, 2, FALSE)</f>
        <v/>
      </c>
      <c r="M18">
        <f>IF(AND(E18&gt;5000, K18&lt;&gt;"&gt;East"), "High-Value Merchant Day", "Standard")</f>
        <v/>
      </c>
    </row>
    <row r="19">
      <c r="A19" t="inlineStr">
        <is>
          <t>TXN100017</t>
        </is>
      </c>
      <c r="B19" t="n">
        <v>207</v>
      </c>
      <c r="C19" t="n">
        <v>19</v>
      </c>
      <c r="D19" t="inlineStr">
        <is>
          <t>2026-01-22 13:20:00</t>
        </is>
      </c>
      <c r="E19" t="n">
        <v>2999</v>
      </c>
      <c r="F19" t="inlineStr">
        <is>
          <t>Card</t>
        </is>
      </c>
      <c r="G19" t="inlineStr">
        <is>
          <t>captured</t>
        </is>
      </c>
      <c r="H19" t="n">
        <v>70</v>
      </c>
      <c r="I19">
        <f>IFERROR(VLOOKUP(C19, Merchants!$A$2:$D$41, 2, FALSE), "Merchant not found")</f>
        <v/>
      </c>
      <c r="J19">
        <f>IFERROR(VLOOKUP(C19, Merchants!$A$2:$D$41, 3, FALSE), "Merchant not found")</f>
        <v/>
      </c>
      <c r="K19">
        <f>IFERROR(VLOOKUP(C19, Merchants!$A$2:$D$41, 4, FALSE), "Merchant not found")</f>
        <v/>
      </c>
      <c r="L19">
        <f>HLOOKUP(F19, Fee_Tiers!$B$1:$E$2, 2, FALSE)</f>
        <v/>
      </c>
      <c r="M19">
        <f>IF(AND(E19&gt;5000, K19&lt;&gt;"&gt;East"), "High-Value Merchant Day", "Standard")</f>
        <v/>
      </c>
    </row>
    <row r="20">
      <c r="A20" t="inlineStr">
        <is>
          <t>TXN100018</t>
        </is>
      </c>
      <c r="B20" t="n">
        <v>341</v>
      </c>
      <c r="C20" t="n">
        <v>25</v>
      </c>
      <c r="D20" t="inlineStr">
        <is>
          <t>2026-01-05 06:26:00</t>
        </is>
      </c>
      <c r="E20" t="n">
        <v>2999</v>
      </c>
      <c r="F20" t="inlineStr">
        <is>
          <t>UPI</t>
        </is>
      </c>
      <c r="G20" t="inlineStr">
        <is>
          <t>captured</t>
        </is>
      </c>
      <c r="H20" t="n">
        <v>86</v>
      </c>
      <c r="I20">
        <f>IFERROR(VLOOKUP(C20, Merchants!$A$2:$D$41, 2, FALSE), "Merchant not found")</f>
        <v/>
      </c>
      <c r="J20">
        <f>IFERROR(VLOOKUP(C20, Merchants!$A$2:$D$41, 3, FALSE), "Merchant not found")</f>
        <v/>
      </c>
      <c r="K20">
        <f>IFERROR(VLOOKUP(C20, Merchants!$A$2:$D$41, 4, FALSE), "Merchant not found")</f>
        <v/>
      </c>
      <c r="L20">
        <f>HLOOKUP(F20, Fee_Tiers!$B$1:$E$2, 2, FALSE)</f>
        <v/>
      </c>
      <c r="M20">
        <f>IF(AND(E20&gt;5000, K20&lt;&gt;"&gt;East"), "High-Value Merchant Day", "Standard")</f>
        <v/>
      </c>
    </row>
    <row r="21">
      <c r="A21" t="inlineStr">
        <is>
          <t>TXN100019</t>
        </is>
      </c>
      <c r="B21" t="n">
        <v>292</v>
      </c>
      <c r="C21" t="n">
        <v>20</v>
      </c>
      <c r="D21" t="inlineStr">
        <is>
          <t>2026-01-24 05:39:00</t>
        </is>
      </c>
      <c r="E21" t="n">
        <v>49</v>
      </c>
      <c r="F21" t="inlineStr">
        <is>
          <t>UPI</t>
        </is>
      </c>
      <c r="G21" t="inlineStr">
        <is>
          <t>captured</t>
        </is>
      </c>
      <c r="H21" t="n">
        <v>51</v>
      </c>
      <c r="I21">
        <f>IFERROR(VLOOKUP(C21, Merchants!$A$2:$D$41, 2, FALSE), "Merchant not found")</f>
        <v/>
      </c>
      <c r="J21">
        <f>IFERROR(VLOOKUP(C21, Merchants!$A$2:$D$41, 3, FALSE), "Merchant not found")</f>
        <v/>
      </c>
      <c r="K21">
        <f>IFERROR(VLOOKUP(C21, Merchants!$A$2:$D$41, 4, FALSE), "Merchant not found")</f>
        <v/>
      </c>
      <c r="L21">
        <f>HLOOKUP(F21, Fee_Tiers!$B$1:$E$2, 2, FALSE)</f>
        <v/>
      </c>
      <c r="M21">
        <f>IF(AND(E21&gt;5000, K21&lt;&gt;"&gt;East"), "High-Value Merchant Day", "Standard")</f>
        <v/>
      </c>
    </row>
    <row r="22">
      <c r="A22" t="inlineStr">
        <is>
          <t>TXN100020</t>
        </is>
      </c>
      <c r="B22" t="n">
        <v>147</v>
      </c>
      <c r="C22" t="n">
        <v>14</v>
      </c>
      <c r="D22" t="inlineStr">
        <is>
          <t>2026-01-18 00:19:00</t>
        </is>
      </c>
      <c r="E22" t="n">
        <v>99</v>
      </c>
      <c r="F22" t="inlineStr">
        <is>
          <t>Card</t>
        </is>
      </c>
      <c r="G22" t="inlineStr">
        <is>
          <t>captured</t>
        </is>
      </c>
      <c r="H22" t="n">
        <v>55</v>
      </c>
      <c r="I22">
        <f>IFERROR(VLOOKUP(C22, Merchants!$A$2:$D$41, 2, FALSE), "Merchant not found")</f>
        <v/>
      </c>
      <c r="J22">
        <f>IFERROR(VLOOKUP(C22, Merchants!$A$2:$D$41, 3, FALSE), "Merchant not found")</f>
        <v/>
      </c>
      <c r="K22">
        <f>IFERROR(VLOOKUP(C22, Merchants!$A$2:$D$41, 4, FALSE), "Merchant not found")</f>
        <v/>
      </c>
      <c r="L22">
        <f>HLOOKUP(F22, Fee_Tiers!$B$1:$E$2, 2, FALSE)</f>
        <v/>
      </c>
      <c r="M22">
        <f>IF(AND(E22&gt;5000, K22&lt;&gt;"&gt;East"), "High-Value Merchant Day", "Standard")</f>
        <v/>
      </c>
    </row>
    <row r="23">
      <c r="A23" t="inlineStr">
        <is>
          <t>TXN100021</t>
        </is>
      </c>
      <c r="B23" t="n">
        <v>336</v>
      </c>
      <c r="C23" t="n">
        <v>21</v>
      </c>
      <c r="D23" t="inlineStr">
        <is>
          <t>2026-01-26 18:38:00</t>
        </is>
      </c>
      <c r="E23" t="n">
        <v>99</v>
      </c>
      <c r="F23" t="inlineStr">
        <is>
          <t>UPI</t>
        </is>
      </c>
      <c r="G23" t="inlineStr">
        <is>
          <t>captured</t>
        </is>
      </c>
      <c r="H23" t="n">
        <v>59</v>
      </c>
      <c r="I23">
        <f>IFERROR(VLOOKUP(C23, Merchants!$A$2:$D$41, 2, FALSE), "Merchant not found")</f>
        <v/>
      </c>
      <c r="J23">
        <f>IFERROR(VLOOKUP(C23, Merchants!$A$2:$D$41, 3, FALSE), "Merchant not found")</f>
        <v/>
      </c>
      <c r="K23">
        <f>IFERROR(VLOOKUP(C23, Merchants!$A$2:$D$41, 4, FALSE), "Merchant not found")</f>
        <v/>
      </c>
      <c r="L23">
        <f>HLOOKUP(F23, Fee_Tiers!$B$1:$E$2, 2, FALSE)</f>
        <v/>
      </c>
      <c r="M23">
        <f>IF(AND(E23&gt;5000, K23&lt;&gt;"&gt;East"), "High-Value Merchant Day", "Standard")</f>
        <v/>
      </c>
    </row>
    <row r="24">
      <c r="A24" t="inlineStr">
        <is>
          <t>TXN100022</t>
        </is>
      </c>
      <c r="B24" t="n">
        <v>110</v>
      </c>
      <c r="C24" t="n">
        <v>33</v>
      </c>
      <c r="D24" t="inlineStr">
        <is>
          <t>2026-01-15 14:43:00</t>
        </is>
      </c>
      <c r="E24" t="n">
        <v>799</v>
      </c>
      <c r="F24" t="inlineStr">
        <is>
          <t>UPI</t>
        </is>
      </c>
      <c r="G24" t="inlineStr">
        <is>
          <t>captured</t>
        </is>
      </c>
      <c r="H24" t="n">
        <v>60</v>
      </c>
      <c r="I24">
        <f>IFERROR(VLOOKUP(C24, Merchants!$A$2:$D$41, 2, FALSE), "Merchant not found")</f>
        <v/>
      </c>
      <c r="J24">
        <f>IFERROR(VLOOKUP(C24, Merchants!$A$2:$D$41, 3, FALSE), "Merchant not found")</f>
        <v/>
      </c>
      <c r="K24">
        <f>IFERROR(VLOOKUP(C24, Merchants!$A$2:$D$41, 4, FALSE), "Merchant not found")</f>
        <v/>
      </c>
      <c r="L24">
        <f>HLOOKUP(F24, Fee_Tiers!$B$1:$E$2, 2, FALSE)</f>
        <v/>
      </c>
      <c r="M24">
        <f>IF(AND(E24&gt;5000, K24&lt;&gt;"&gt;East"), "High-Value Merchant Day", "Standard")</f>
        <v/>
      </c>
    </row>
    <row r="25">
      <c r="A25" t="inlineStr">
        <is>
          <t>TXN100023</t>
        </is>
      </c>
      <c r="B25" t="n">
        <v>338</v>
      </c>
      <c r="C25" t="n">
        <v>6</v>
      </c>
      <c r="D25" t="inlineStr">
        <is>
          <t>2026-01-26 23:10:00</t>
        </is>
      </c>
      <c r="E25" t="n">
        <v>799</v>
      </c>
      <c r="F25" t="inlineStr">
        <is>
          <t>UPI</t>
        </is>
      </c>
      <c r="G25" t="inlineStr">
        <is>
          <t>chargeback</t>
        </is>
      </c>
      <c r="H25" t="n">
        <v>36</v>
      </c>
      <c r="I25">
        <f>IFERROR(VLOOKUP(C25, Merchants!$A$2:$D$41, 2, FALSE), "Merchant not found")</f>
        <v/>
      </c>
      <c r="J25">
        <f>IFERROR(VLOOKUP(C25, Merchants!$A$2:$D$41, 3, FALSE), "Merchant not found")</f>
        <v/>
      </c>
      <c r="K25">
        <f>IFERROR(VLOOKUP(C25, Merchants!$A$2:$D$41, 4, FALSE), "Merchant not found")</f>
        <v/>
      </c>
      <c r="L25">
        <f>HLOOKUP(F25, Fee_Tiers!$B$1:$E$2, 2, FALSE)</f>
        <v/>
      </c>
      <c r="M25">
        <f>IF(AND(E25&gt;5000, K25&lt;&gt;"&gt;East"), "High-Value Merchant Day", "Standard")</f>
        <v/>
      </c>
    </row>
    <row r="26">
      <c r="A26" t="inlineStr">
        <is>
          <t>TXN100024</t>
        </is>
      </c>
      <c r="B26" t="n">
        <v>318</v>
      </c>
      <c r="C26" t="n">
        <v>22</v>
      </c>
      <c r="D26" t="inlineStr">
        <is>
          <t>2026-01-17 21:40:00</t>
        </is>
      </c>
      <c r="E26" t="n">
        <v>799</v>
      </c>
      <c r="F26" t="inlineStr">
        <is>
          <t>Wallet</t>
        </is>
      </c>
      <c r="G26" t="inlineStr">
        <is>
          <t>captured</t>
        </is>
      </c>
      <c r="H26" t="n">
        <v>11</v>
      </c>
      <c r="I26">
        <f>IFERROR(VLOOKUP(C26, Merchants!$A$2:$D$41, 2, FALSE), "Merchant not found")</f>
        <v/>
      </c>
      <c r="J26">
        <f>IFERROR(VLOOKUP(C26, Merchants!$A$2:$D$41, 3, FALSE), "Merchant not found")</f>
        <v/>
      </c>
      <c r="K26">
        <f>IFERROR(VLOOKUP(C26, Merchants!$A$2:$D$41, 4, FALSE), "Merchant not found")</f>
        <v/>
      </c>
      <c r="L26">
        <f>HLOOKUP(F26, Fee_Tiers!$B$1:$E$2, 2, FALSE)</f>
        <v/>
      </c>
      <c r="M26">
        <f>IF(AND(E26&gt;5000, K26&lt;&gt;"&gt;East"), "High-Value Merchant Day", "Standard")</f>
        <v/>
      </c>
    </row>
    <row r="27">
      <c r="A27" t="inlineStr">
        <is>
          <t>TXN100025</t>
        </is>
      </c>
      <c r="B27" t="n">
        <v>159</v>
      </c>
      <c r="C27" t="n">
        <v>15</v>
      </c>
      <c r="D27" t="inlineStr">
        <is>
          <t>2026-01-27 07:43:00</t>
        </is>
      </c>
      <c r="E27" t="n">
        <v>799</v>
      </c>
      <c r="F27" t="inlineStr">
        <is>
          <t>UPI</t>
        </is>
      </c>
      <c r="G27" t="inlineStr">
        <is>
          <t>captured</t>
        </is>
      </c>
      <c r="H27" t="n">
        <v>25</v>
      </c>
      <c r="I27">
        <f>IFERROR(VLOOKUP(C27, Merchants!$A$2:$D$41, 2, FALSE), "Merchant not found")</f>
        <v/>
      </c>
      <c r="J27">
        <f>IFERROR(VLOOKUP(C27, Merchants!$A$2:$D$41, 3, FALSE), "Merchant not found")</f>
        <v/>
      </c>
      <c r="K27">
        <f>IFERROR(VLOOKUP(C27, Merchants!$A$2:$D$41, 4, FALSE), "Merchant not found")</f>
        <v/>
      </c>
      <c r="L27">
        <f>HLOOKUP(F27, Fee_Tiers!$B$1:$E$2, 2, FALSE)</f>
        <v/>
      </c>
      <c r="M27">
        <f>IF(AND(E27&gt;5000, K27&lt;&gt;"&gt;East"), "High-Value Merchant Day", "Standard")</f>
        <v/>
      </c>
    </row>
    <row r="28">
      <c r="A28" t="inlineStr">
        <is>
          <t>TXN100026</t>
        </is>
      </c>
      <c r="B28" t="n">
        <v>126</v>
      </c>
      <c r="C28" t="n">
        <v>31</v>
      </c>
      <c r="D28" t="inlineStr">
        <is>
          <t>2026-01-05 00:02:00</t>
        </is>
      </c>
      <c r="E28" t="n">
        <v>49</v>
      </c>
      <c r="F28" t="inlineStr">
        <is>
          <t>Card</t>
        </is>
      </c>
      <c r="G28" t="inlineStr">
        <is>
          <t>captured</t>
        </is>
      </c>
      <c r="H28" t="n">
        <v>78</v>
      </c>
      <c r="I28">
        <f>IFERROR(VLOOKUP(C28, Merchants!$A$2:$D$41, 2, FALSE), "Merchant not found")</f>
        <v/>
      </c>
      <c r="J28">
        <f>IFERROR(VLOOKUP(C28, Merchants!$A$2:$D$41, 3, FALSE), "Merchant not found")</f>
        <v/>
      </c>
      <c r="K28">
        <f>IFERROR(VLOOKUP(C28, Merchants!$A$2:$D$41, 4, FALSE), "Merchant not found")</f>
        <v/>
      </c>
      <c r="L28">
        <f>HLOOKUP(F28, Fee_Tiers!$B$1:$E$2, 2, FALSE)</f>
        <v/>
      </c>
      <c r="M28">
        <f>IF(AND(E28&gt;5000, K28&lt;&gt;"&gt;East"), "High-Value Merchant Day", "Standard")</f>
        <v/>
      </c>
    </row>
    <row r="29">
      <c r="A29" t="inlineStr">
        <is>
          <t>TXN100027</t>
        </is>
      </c>
      <c r="B29" t="n">
        <v>213</v>
      </c>
      <c r="C29" t="n">
        <v>37</v>
      </c>
      <c r="D29" t="inlineStr">
        <is>
          <t>2026-01-28 02:29:00</t>
        </is>
      </c>
      <c r="E29" t="n">
        <v>99</v>
      </c>
      <c r="F29" t="inlineStr">
        <is>
          <t>UPI</t>
        </is>
      </c>
      <c r="G29" t="inlineStr">
        <is>
          <t>captured</t>
        </is>
      </c>
      <c r="H29" t="n">
        <v>24</v>
      </c>
      <c r="I29">
        <f>IFERROR(VLOOKUP(C29, Merchants!$A$2:$D$41, 2, FALSE), "Merchant not found")</f>
        <v/>
      </c>
      <c r="J29">
        <f>IFERROR(VLOOKUP(C29, Merchants!$A$2:$D$41, 3, FALSE), "Merchant not found")</f>
        <v/>
      </c>
      <c r="K29">
        <f>IFERROR(VLOOKUP(C29, Merchants!$A$2:$D$41, 4, FALSE), "Merchant not found")</f>
        <v/>
      </c>
      <c r="L29">
        <f>HLOOKUP(F29, Fee_Tiers!$B$1:$E$2, 2, FALSE)</f>
        <v/>
      </c>
      <c r="M29">
        <f>IF(AND(E29&gt;5000, K29&lt;&gt;"&gt;East"), "High-Value Merchant Day", "Standard")</f>
        <v/>
      </c>
    </row>
    <row r="30">
      <c r="A30" t="inlineStr">
        <is>
          <t>TXN100028</t>
        </is>
      </c>
      <c r="B30" t="n">
        <v>254</v>
      </c>
      <c r="C30" t="n">
        <v>26</v>
      </c>
      <c r="D30" t="inlineStr">
        <is>
          <t>2026-01-23 22:24:00</t>
        </is>
      </c>
      <c r="E30" t="n">
        <v>99</v>
      </c>
      <c r="F30" t="inlineStr">
        <is>
          <t>Wallet</t>
        </is>
      </c>
      <c r="G30" t="inlineStr">
        <is>
          <t>captured</t>
        </is>
      </c>
      <c r="H30" t="n">
        <v>31</v>
      </c>
      <c r="I30">
        <f>IFERROR(VLOOKUP(C30, Merchants!$A$2:$D$41, 2, FALSE), "Merchant not found")</f>
        <v/>
      </c>
      <c r="J30">
        <f>IFERROR(VLOOKUP(C30, Merchants!$A$2:$D$41, 3, FALSE), "Merchant not found")</f>
        <v/>
      </c>
      <c r="K30">
        <f>IFERROR(VLOOKUP(C30, Merchants!$A$2:$D$41, 4, FALSE), "Merchant not found")</f>
        <v/>
      </c>
      <c r="L30">
        <f>HLOOKUP(F30, Fee_Tiers!$B$1:$E$2, 2, FALSE)</f>
        <v/>
      </c>
      <c r="M30">
        <f>IF(AND(E30&gt;5000, K30&lt;&gt;"&gt;East"), "High-Value Merchant Day", "Standard")</f>
        <v/>
      </c>
    </row>
    <row r="31">
      <c r="A31" t="inlineStr">
        <is>
          <t>TXN100029</t>
        </is>
      </c>
      <c r="B31" t="n">
        <v>3</v>
      </c>
      <c r="C31" t="n">
        <v>7</v>
      </c>
      <c r="D31" t="inlineStr">
        <is>
          <t>2026-01-05 20:44:00</t>
        </is>
      </c>
      <c r="E31" t="n">
        <v>1499</v>
      </c>
      <c r="F31" t="inlineStr">
        <is>
          <t>UPI</t>
        </is>
      </c>
      <c r="G31" t="inlineStr">
        <is>
          <t>captured</t>
        </is>
      </c>
      <c r="H31" t="n">
        <v>99</v>
      </c>
      <c r="I31">
        <f>IFERROR(VLOOKUP(C31, Merchants!$A$2:$D$41, 2, FALSE), "Merchant not found")</f>
        <v/>
      </c>
      <c r="J31">
        <f>IFERROR(VLOOKUP(C31, Merchants!$A$2:$D$41, 3, FALSE), "Merchant not found")</f>
        <v/>
      </c>
      <c r="K31">
        <f>IFERROR(VLOOKUP(C31, Merchants!$A$2:$D$41, 4, FALSE), "Merchant not found")</f>
        <v/>
      </c>
      <c r="L31">
        <f>HLOOKUP(F31, Fee_Tiers!$B$1:$E$2, 2, FALSE)</f>
        <v/>
      </c>
      <c r="M31">
        <f>IF(AND(E31&gt;5000, K31&lt;&gt;"&gt;East"), "High-Value Merchant Day", "Standard")</f>
        <v/>
      </c>
    </row>
    <row r="32">
      <c r="A32" t="inlineStr">
        <is>
          <t>TXN100030</t>
        </is>
      </c>
      <c r="B32" t="n">
        <v>266</v>
      </c>
      <c r="C32" t="n">
        <v>30</v>
      </c>
      <c r="D32" t="inlineStr">
        <is>
          <t>2026-01-14 07:11:00</t>
        </is>
      </c>
      <c r="E32" t="n">
        <v>499</v>
      </c>
      <c r="F32" t="inlineStr">
        <is>
          <t>Card</t>
        </is>
      </c>
      <c r="G32" t="inlineStr">
        <is>
          <t>captured</t>
        </is>
      </c>
      <c r="H32" t="n">
        <v>6</v>
      </c>
      <c r="I32">
        <f>IFERROR(VLOOKUP(C32, Merchants!$A$2:$D$41, 2, FALSE), "Merchant not found")</f>
        <v/>
      </c>
      <c r="J32">
        <f>IFERROR(VLOOKUP(C32, Merchants!$A$2:$D$41, 3, FALSE), "Merchant not found")</f>
        <v/>
      </c>
      <c r="K32">
        <f>IFERROR(VLOOKUP(C32, Merchants!$A$2:$D$41, 4, FALSE), "Merchant not found")</f>
        <v/>
      </c>
      <c r="L32">
        <f>HLOOKUP(F32, Fee_Tiers!$B$1:$E$2, 2, FALSE)</f>
        <v/>
      </c>
      <c r="M32">
        <f>IF(AND(E32&gt;5000, K32&lt;&gt;"&gt;East"), "High-Value Merchant Day", "Standard")</f>
        <v/>
      </c>
    </row>
    <row r="33">
      <c r="A33" t="inlineStr">
        <is>
          <t>TXN100031</t>
        </is>
      </c>
      <c r="B33" t="n">
        <v>63</v>
      </c>
      <c r="C33" t="n">
        <v>30</v>
      </c>
      <c r="D33" t="inlineStr">
        <is>
          <t>2026-01-18 07:58:00</t>
        </is>
      </c>
      <c r="E33" t="n">
        <v>799</v>
      </c>
      <c r="F33" t="inlineStr">
        <is>
          <t>UPI</t>
        </is>
      </c>
      <c r="G33" t="inlineStr">
        <is>
          <t>captured</t>
        </is>
      </c>
      <c r="H33" t="n">
        <v>17</v>
      </c>
      <c r="I33">
        <f>IFERROR(VLOOKUP(C33, Merchants!$A$2:$D$41, 2, FALSE), "Merchant not found")</f>
        <v/>
      </c>
      <c r="J33">
        <f>IFERROR(VLOOKUP(C33, Merchants!$A$2:$D$41, 3, FALSE), "Merchant not found")</f>
        <v/>
      </c>
      <c r="K33">
        <f>IFERROR(VLOOKUP(C33, Merchants!$A$2:$D$41, 4, FALSE), "Merchant not found")</f>
        <v/>
      </c>
      <c r="L33">
        <f>HLOOKUP(F33, Fee_Tiers!$B$1:$E$2, 2, FALSE)</f>
        <v/>
      </c>
      <c r="M33">
        <f>IF(AND(E33&gt;5000, K33&lt;&gt;"&gt;East"), "High-Value Merchant Day", "Standard")</f>
        <v/>
      </c>
    </row>
    <row r="34">
      <c r="A34" t="inlineStr">
        <is>
          <t>TXN100032</t>
        </is>
      </c>
      <c r="B34" t="n">
        <v>272</v>
      </c>
      <c r="C34" t="n">
        <v>36</v>
      </c>
      <c r="D34" t="inlineStr">
        <is>
          <t>2026-01-26 14:42:00</t>
        </is>
      </c>
      <c r="E34" t="n">
        <v>149</v>
      </c>
      <c r="F34" t="inlineStr">
        <is>
          <t>UPI</t>
        </is>
      </c>
      <c r="G34" t="inlineStr">
        <is>
          <t>captured</t>
        </is>
      </c>
      <c r="H34" t="n">
        <v>76</v>
      </c>
      <c r="I34">
        <f>IFERROR(VLOOKUP(C34, Merchants!$A$2:$D$41, 2, FALSE), "Merchant not found")</f>
        <v/>
      </c>
      <c r="J34">
        <f>IFERROR(VLOOKUP(C34, Merchants!$A$2:$D$41, 3, FALSE), "Merchant not found")</f>
        <v/>
      </c>
      <c r="K34">
        <f>IFERROR(VLOOKUP(C34, Merchants!$A$2:$D$41, 4, FALSE), "Merchant not found")</f>
        <v/>
      </c>
      <c r="L34">
        <f>HLOOKUP(F34, Fee_Tiers!$B$1:$E$2, 2, FALSE)</f>
        <v/>
      </c>
      <c r="M34">
        <f>IF(AND(E34&gt;5000, K34&lt;&gt;"&gt;East"), "High-Value Merchant Day", "Standard")</f>
        <v/>
      </c>
    </row>
    <row r="35">
      <c r="A35" t="inlineStr">
        <is>
          <t>TXN100033</t>
        </is>
      </c>
      <c r="B35" t="n">
        <v>259</v>
      </c>
      <c r="C35" t="n">
        <v>28</v>
      </c>
      <c r="D35" t="inlineStr">
        <is>
          <t>2026-01-11 14:39:00</t>
        </is>
      </c>
      <c r="E35" t="n">
        <v>49</v>
      </c>
      <c r="F35" t="inlineStr">
        <is>
          <t>Wallet</t>
        </is>
      </c>
      <c r="G35" t="inlineStr">
        <is>
          <t>captured</t>
        </is>
      </c>
      <c r="H35" t="n">
        <v>70</v>
      </c>
      <c r="I35">
        <f>IFERROR(VLOOKUP(C35, Merchants!$A$2:$D$41, 2, FALSE), "Merchant not found")</f>
        <v/>
      </c>
      <c r="J35">
        <f>IFERROR(VLOOKUP(C35, Merchants!$A$2:$D$41, 3, FALSE), "Merchant not found")</f>
        <v/>
      </c>
      <c r="K35">
        <f>IFERROR(VLOOKUP(C35, Merchants!$A$2:$D$41, 4, FALSE), "Merchant not found")</f>
        <v/>
      </c>
      <c r="L35">
        <f>HLOOKUP(F35, Fee_Tiers!$B$1:$E$2, 2, FALSE)</f>
        <v/>
      </c>
      <c r="M35">
        <f>IF(AND(E35&gt;5000, K35&lt;&gt;"&gt;East"), "High-Value Merchant Day", "Standard")</f>
        <v/>
      </c>
    </row>
    <row r="36">
      <c r="A36" t="inlineStr">
        <is>
          <t>TXN100034</t>
        </is>
      </c>
      <c r="B36" t="n">
        <v>244</v>
      </c>
      <c r="C36" t="n">
        <v>29</v>
      </c>
      <c r="D36" t="inlineStr">
        <is>
          <t>2026-01-15 05:47:00</t>
        </is>
      </c>
      <c r="E36" t="n">
        <v>299</v>
      </c>
      <c r="F36" t="inlineStr">
        <is>
          <t>Netbanking</t>
        </is>
      </c>
      <c r="G36" t="inlineStr">
        <is>
          <t>captured</t>
        </is>
      </c>
      <c r="H36" t="n">
        <v>33</v>
      </c>
      <c r="I36">
        <f>IFERROR(VLOOKUP(C36, Merchants!$A$2:$D$41, 2, FALSE), "Merchant not found")</f>
        <v/>
      </c>
      <c r="J36">
        <f>IFERROR(VLOOKUP(C36, Merchants!$A$2:$D$41, 3, FALSE), "Merchant not found")</f>
        <v/>
      </c>
      <c r="K36">
        <f>IFERROR(VLOOKUP(C36, Merchants!$A$2:$D$41, 4, FALSE), "Merchant not found")</f>
        <v/>
      </c>
      <c r="L36">
        <f>HLOOKUP(F36, Fee_Tiers!$B$1:$E$2, 2, FALSE)</f>
        <v/>
      </c>
      <c r="M36">
        <f>IF(AND(E36&gt;5000, K36&lt;&gt;"&gt;East"), "High-Value Merchant Day", "Standard")</f>
        <v/>
      </c>
    </row>
    <row r="37">
      <c r="A37" t="inlineStr">
        <is>
          <t>TXN100035</t>
        </is>
      </c>
      <c r="B37" t="n">
        <v>327</v>
      </c>
      <c r="C37" t="n">
        <v>18</v>
      </c>
      <c r="D37" t="inlineStr">
        <is>
          <t>2026-01-25 07:53:00</t>
        </is>
      </c>
      <c r="E37" t="n">
        <v>149</v>
      </c>
      <c r="F37" t="inlineStr">
        <is>
          <t>Card</t>
        </is>
      </c>
      <c r="G37" t="inlineStr">
        <is>
          <t>captured</t>
        </is>
      </c>
      <c r="H37" t="n">
        <v>98</v>
      </c>
      <c r="I37">
        <f>IFERROR(VLOOKUP(C37, Merchants!$A$2:$D$41, 2, FALSE), "Merchant not found")</f>
        <v/>
      </c>
      <c r="J37">
        <f>IFERROR(VLOOKUP(C37, Merchants!$A$2:$D$41, 3, FALSE), "Merchant not found")</f>
        <v/>
      </c>
      <c r="K37">
        <f>IFERROR(VLOOKUP(C37, Merchants!$A$2:$D$41, 4, FALSE), "Merchant not found")</f>
        <v/>
      </c>
      <c r="L37">
        <f>HLOOKUP(F37, Fee_Tiers!$B$1:$E$2, 2, FALSE)</f>
        <v/>
      </c>
      <c r="M37">
        <f>IF(AND(E37&gt;5000, K37&lt;&gt;"&gt;East"), "High-Value Merchant Day", "Standard")</f>
        <v/>
      </c>
    </row>
    <row r="38">
      <c r="A38" t="inlineStr">
        <is>
          <t>TXN100036</t>
        </is>
      </c>
      <c r="B38" t="n">
        <v>321</v>
      </c>
      <c r="C38" t="n">
        <v>16</v>
      </c>
      <c r="D38" t="inlineStr">
        <is>
          <t>2026-01-25 16:31:00</t>
        </is>
      </c>
      <c r="E38" t="n">
        <v>49</v>
      </c>
      <c r="F38" t="inlineStr">
        <is>
          <t>UPI</t>
        </is>
      </c>
      <c r="G38" t="inlineStr">
        <is>
          <t>captured</t>
        </is>
      </c>
      <c r="H38" t="n">
        <v>35</v>
      </c>
      <c r="I38">
        <f>IFERROR(VLOOKUP(C38, Merchants!$A$2:$D$41, 2, FALSE), "Merchant not found")</f>
        <v/>
      </c>
      <c r="J38">
        <f>IFERROR(VLOOKUP(C38, Merchants!$A$2:$D$41, 3, FALSE), "Merchant not found")</f>
        <v/>
      </c>
      <c r="K38">
        <f>IFERROR(VLOOKUP(C38, Merchants!$A$2:$D$41, 4, FALSE), "Merchant not found")</f>
        <v/>
      </c>
      <c r="L38">
        <f>HLOOKUP(F38, Fee_Tiers!$B$1:$E$2, 2, FALSE)</f>
        <v/>
      </c>
      <c r="M38">
        <f>IF(AND(E38&gt;5000, K38&lt;&gt;"&gt;East"), "High-Value Merchant Day", "Standard")</f>
        <v/>
      </c>
    </row>
    <row r="39">
      <c r="A39" t="inlineStr">
        <is>
          <t>TXN100037</t>
        </is>
      </c>
      <c r="B39" t="n">
        <v>147</v>
      </c>
      <c r="C39" t="n">
        <v>16</v>
      </c>
      <c r="D39" t="inlineStr">
        <is>
          <t>2026-01-15 02:45:00</t>
        </is>
      </c>
      <c r="E39" t="n">
        <v>2999</v>
      </c>
      <c r="F39" t="inlineStr">
        <is>
          <t>Card</t>
        </is>
      </c>
      <c r="G39" t="inlineStr">
        <is>
          <t>captured</t>
        </is>
      </c>
      <c r="H39" t="n">
        <v>34</v>
      </c>
      <c r="I39">
        <f>IFERROR(VLOOKUP(C39, Merchants!$A$2:$D$41, 2, FALSE), "Merchant not found")</f>
        <v/>
      </c>
      <c r="J39">
        <f>IFERROR(VLOOKUP(C39, Merchants!$A$2:$D$41, 3, FALSE), "Merchant not found")</f>
        <v/>
      </c>
      <c r="K39">
        <f>IFERROR(VLOOKUP(C39, Merchants!$A$2:$D$41, 4, FALSE), "Merchant not found")</f>
        <v/>
      </c>
      <c r="L39">
        <f>HLOOKUP(F39, Fee_Tiers!$B$1:$E$2, 2, FALSE)</f>
        <v/>
      </c>
      <c r="M39">
        <f>IF(AND(E39&gt;5000, K39&lt;&gt;"&gt;East"), "High-Value Merchant Day", "Standard")</f>
        <v/>
      </c>
    </row>
    <row r="40">
      <c r="A40" t="inlineStr">
        <is>
          <t>TXN100038</t>
        </is>
      </c>
      <c r="B40" t="n">
        <v>277</v>
      </c>
      <c r="C40" t="n">
        <v>6</v>
      </c>
      <c r="D40" t="inlineStr">
        <is>
          <t>2026-01-11 10:57:00</t>
        </is>
      </c>
      <c r="E40" t="n">
        <v>1499</v>
      </c>
      <c r="F40" t="inlineStr">
        <is>
          <t>Card</t>
        </is>
      </c>
      <c r="G40" t="inlineStr">
        <is>
          <t>captured</t>
        </is>
      </c>
      <c r="H40" t="n">
        <v>17</v>
      </c>
      <c r="I40">
        <f>IFERROR(VLOOKUP(C40, Merchants!$A$2:$D$41, 2, FALSE), "Merchant not found")</f>
        <v/>
      </c>
      <c r="J40">
        <f>IFERROR(VLOOKUP(C40, Merchants!$A$2:$D$41, 3, FALSE), "Merchant not found")</f>
        <v/>
      </c>
      <c r="K40">
        <f>IFERROR(VLOOKUP(C40, Merchants!$A$2:$D$41, 4, FALSE), "Merchant not found")</f>
        <v/>
      </c>
      <c r="L40">
        <f>HLOOKUP(F40, Fee_Tiers!$B$1:$E$2, 2, FALSE)</f>
        <v/>
      </c>
      <c r="M40">
        <f>IF(AND(E40&gt;5000, K40&lt;&gt;"&gt;East"), "High-Value Merchant Day", "Standard")</f>
        <v/>
      </c>
    </row>
    <row r="41">
      <c r="A41" t="inlineStr">
        <is>
          <t>TXN100039</t>
        </is>
      </c>
      <c r="B41" t="n">
        <v>79</v>
      </c>
      <c r="C41" t="n">
        <v>14</v>
      </c>
      <c r="D41" t="inlineStr">
        <is>
          <t>2026-01-05 07:24:00</t>
        </is>
      </c>
      <c r="E41" t="n">
        <v>1499</v>
      </c>
      <c r="F41" t="inlineStr">
        <is>
          <t>UPI</t>
        </is>
      </c>
      <c r="G41" t="inlineStr">
        <is>
          <t>captured</t>
        </is>
      </c>
      <c r="H41" t="n">
        <v>8</v>
      </c>
      <c r="I41">
        <f>IFERROR(VLOOKUP(C41, Merchants!$A$2:$D$41, 2, FALSE), "Merchant not found")</f>
        <v/>
      </c>
      <c r="J41">
        <f>IFERROR(VLOOKUP(C41, Merchants!$A$2:$D$41, 3, FALSE), "Merchant not found")</f>
        <v/>
      </c>
      <c r="K41">
        <f>IFERROR(VLOOKUP(C41, Merchants!$A$2:$D$41, 4, FALSE), "Merchant not found")</f>
        <v/>
      </c>
      <c r="L41">
        <f>HLOOKUP(F41, Fee_Tiers!$B$1:$E$2, 2, FALSE)</f>
        <v/>
      </c>
      <c r="M41">
        <f>IF(AND(E41&gt;5000, K41&lt;&gt;"&gt;East"), "High-Value Merchant Day", "Standard")</f>
        <v/>
      </c>
    </row>
    <row r="42">
      <c r="A42" t="inlineStr">
        <is>
          <t>TXN100040</t>
        </is>
      </c>
      <c r="B42" t="n">
        <v>278</v>
      </c>
      <c r="C42" t="n">
        <v>30</v>
      </c>
      <c r="D42" t="inlineStr">
        <is>
          <t>2026-01-14 13:21:00</t>
        </is>
      </c>
      <c r="E42" t="n">
        <v>1499</v>
      </c>
      <c r="F42" t="inlineStr">
        <is>
          <t>UPI</t>
        </is>
      </c>
      <c r="G42" t="inlineStr">
        <is>
          <t>captured</t>
        </is>
      </c>
      <c r="H42" t="n">
        <v>53</v>
      </c>
      <c r="I42">
        <f>IFERROR(VLOOKUP(C42, Merchants!$A$2:$D$41, 2, FALSE), "Merchant not found")</f>
        <v/>
      </c>
      <c r="J42">
        <f>IFERROR(VLOOKUP(C42, Merchants!$A$2:$D$41, 3, FALSE), "Merchant not found")</f>
        <v/>
      </c>
      <c r="K42">
        <f>IFERROR(VLOOKUP(C42, Merchants!$A$2:$D$41, 4, FALSE), "Merchant not found")</f>
        <v/>
      </c>
      <c r="L42">
        <f>HLOOKUP(F42, Fee_Tiers!$B$1:$E$2, 2, FALSE)</f>
        <v/>
      </c>
      <c r="M42">
        <f>IF(AND(E42&gt;5000, K42&lt;&gt;"&gt;East"), "High-Value Merchant Day", "Standard")</f>
        <v/>
      </c>
    </row>
    <row r="43">
      <c r="A43" t="inlineStr">
        <is>
          <t>TXN100041</t>
        </is>
      </c>
      <c r="B43" t="n">
        <v>216</v>
      </c>
      <c r="C43" t="n">
        <v>25</v>
      </c>
      <c r="D43" t="inlineStr">
        <is>
          <t>2026-01-02 06:53:00</t>
        </is>
      </c>
      <c r="E43" t="n">
        <v>99</v>
      </c>
      <c r="F43" t="inlineStr">
        <is>
          <t>UPI</t>
        </is>
      </c>
      <c r="G43" t="inlineStr">
        <is>
          <t>captured</t>
        </is>
      </c>
      <c r="H43" t="n">
        <v>98</v>
      </c>
      <c r="I43">
        <f>IFERROR(VLOOKUP(C43, Merchants!$A$2:$D$41, 2, FALSE), "Merchant not found")</f>
        <v/>
      </c>
      <c r="J43">
        <f>IFERROR(VLOOKUP(C43, Merchants!$A$2:$D$41, 3, FALSE), "Merchant not found")</f>
        <v/>
      </c>
      <c r="K43">
        <f>IFERROR(VLOOKUP(C43, Merchants!$A$2:$D$41, 4, FALSE), "Merchant not found")</f>
        <v/>
      </c>
      <c r="L43">
        <f>HLOOKUP(F43, Fee_Tiers!$B$1:$E$2, 2, FALSE)</f>
        <v/>
      </c>
      <c r="M43">
        <f>IF(AND(E43&gt;5000, K43&lt;&gt;"&gt;East"), "High-Value Merchant Day", "Standard")</f>
        <v/>
      </c>
    </row>
    <row r="44">
      <c r="A44" t="inlineStr">
        <is>
          <t>TXN100042</t>
        </is>
      </c>
      <c r="B44" t="n">
        <v>295</v>
      </c>
      <c r="C44" t="n">
        <v>25</v>
      </c>
      <c r="D44" t="inlineStr">
        <is>
          <t>2026-01-19 22:01:00</t>
        </is>
      </c>
      <c r="E44" t="n">
        <v>1499</v>
      </c>
      <c r="F44" t="inlineStr">
        <is>
          <t>UPI</t>
        </is>
      </c>
      <c r="G44" t="inlineStr">
        <is>
          <t>captured</t>
        </is>
      </c>
      <c r="H44" t="n">
        <v>61</v>
      </c>
      <c r="I44">
        <f>IFERROR(VLOOKUP(C44, Merchants!$A$2:$D$41, 2, FALSE), "Merchant not found")</f>
        <v/>
      </c>
      <c r="J44">
        <f>IFERROR(VLOOKUP(C44, Merchants!$A$2:$D$41, 3, FALSE), "Merchant not found")</f>
        <v/>
      </c>
      <c r="K44">
        <f>IFERROR(VLOOKUP(C44, Merchants!$A$2:$D$41, 4, FALSE), "Merchant not found")</f>
        <v/>
      </c>
      <c r="L44">
        <f>HLOOKUP(F44, Fee_Tiers!$B$1:$E$2, 2, FALSE)</f>
        <v/>
      </c>
      <c r="M44">
        <f>IF(AND(E44&gt;5000, K44&lt;&gt;"&gt;East"), "High-Value Merchant Day", "Standard")</f>
        <v/>
      </c>
    </row>
    <row r="45">
      <c r="A45" t="inlineStr">
        <is>
          <t>TXN100043</t>
        </is>
      </c>
      <c r="B45" t="n">
        <v>200</v>
      </c>
      <c r="C45" t="n">
        <v>27</v>
      </c>
      <c r="D45" t="inlineStr">
        <is>
          <t>2026-01-01 11:19:00</t>
        </is>
      </c>
      <c r="E45" t="n">
        <v>149</v>
      </c>
      <c r="F45" t="inlineStr">
        <is>
          <t>UPI</t>
        </is>
      </c>
      <c r="G45" t="inlineStr">
        <is>
          <t>captured</t>
        </is>
      </c>
      <c r="H45" t="n">
        <v>68</v>
      </c>
      <c r="I45">
        <f>IFERROR(VLOOKUP(C45, Merchants!$A$2:$D$41, 2, FALSE), "Merchant not found")</f>
        <v/>
      </c>
      <c r="J45">
        <f>IFERROR(VLOOKUP(C45, Merchants!$A$2:$D$41, 3, FALSE), "Merchant not found")</f>
        <v/>
      </c>
      <c r="K45">
        <f>IFERROR(VLOOKUP(C45, Merchants!$A$2:$D$41, 4, FALSE), "Merchant not found")</f>
        <v/>
      </c>
      <c r="L45">
        <f>HLOOKUP(F45, Fee_Tiers!$B$1:$E$2, 2, FALSE)</f>
        <v/>
      </c>
      <c r="M45">
        <f>IF(AND(E45&gt;5000, K45&lt;&gt;"&gt;East"), "High-Value Merchant Day", "Standard")</f>
        <v/>
      </c>
    </row>
    <row r="46">
      <c r="A46" t="inlineStr">
        <is>
          <t>TXN100044</t>
        </is>
      </c>
      <c r="B46" t="n">
        <v>309</v>
      </c>
      <c r="C46" t="n">
        <v>15</v>
      </c>
      <c r="D46" t="inlineStr">
        <is>
          <t>2026-01-24 23:34:00</t>
        </is>
      </c>
      <c r="E46" t="n">
        <v>99</v>
      </c>
      <c r="F46" t="inlineStr">
        <is>
          <t>Netbanking</t>
        </is>
      </c>
      <c r="G46" t="inlineStr">
        <is>
          <t>captured</t>
        </is>
      </c>
      <c r="H46" t="n">
        <v>62</v>
      </c>
      <c r="I46">
        <f>IFERROR(VLOOKUP(C46, Merchants!$A$2:$D$41, 2, FALSE), "Merchant not found")</f>
        <v/>
      </c>
      <c r="J46">
        <f>IFERROR(VLOOKUP(C46, Merchants!$A$2:$D$41, 3, FALSE), "Merchant not found")</f>
        <v/>
      </c>
      <c r="K46">
        <f>IFERROR(VLOOKUP(C46, Merchants!$A$2:$D$41, 4, FALSE), "Merchant not found")</f>
        <v/>
      </c>
      <c r="L46">
        <f>HLOOKUP(F46, Fee_Tiers!$B$1:$E$2, 2, FALSE)</f>
        <v/>
      </c>
      <c r="M46">
        <f>IF(AND(E46&gt;5000, K46&lt;&gt;"&gt;East"), "High-Value Merchant Day", "Standard")</f>
        <v/>
      </c>
    </row>
    <row r="47">
      <c r="A47" t="inlineStr">
        <is>
          <t>TXN100045</t>
        </is>
      </c>
      <c r="B47" t="n">
        <v>249</v>
      </c>
      <c r="C47" t="n">
        <v>2</v>
      </c>
      <c r="D47" t="inlineStr">
        <is>
          <t>2026-01-08 08:27:00</t>
        </is>
      </c>
      <c r="E47" t="n">
        <v>299</v>
      </c>
      <c r="F47" t="inlineStr">
        <is>
          <t>Wallet</t>
        </is>
      </c>
      <c r="G47" t="inlineStr">
        <is>
          <t>captured</t>
        </is>
      </c>
      <c r="H47" t="n">
        <v>49</v>
      </c>
      <c r="I47">
        <f>IFERROR(VLOOKUP(C47, Merchants!$A$2:$D$41, 2, FALSE), "Merchant not found")</f>
        <v/>
      </c>
      <c r="J47">
        <f>IFERROR(VLOOKUP(C47, Merchants!$A$2:$D$41, 3, FALSE), "Merchant not found")</f>
        <v/>
      </c>
      <c r="K47">
        <f>IFERROR(VLOOKUP(C47, Merchants!$A$2:$D$41, 4, FALSE), "Merchant not found")</f>
        <v/>
      </c>
      <c r="L47">
        <f>HLOOKUP(F47, Fee_Tiers!$B$1:$E$2, 2, FALSE)</f>
        <v/>
      </c>
      <c r="M47">
        <f>IF(AND(E47&gt;5000, K47&lt;&gt;"&gt;East"), "High-Value Merchant Day", "Standard")</f>
        <v/>
      </c>
    </row>
    <row r="48">
      <c r="A48" t="inlineStr">
        <is>
          <t>TXN100046</t>
        </is>
      </c>
      <c r="B48" t="n">
        <v>208</v>
      </c>
      <c r="C48" t="n">
        <v>11</v>
      </c>
      <c r="D48" t="inlineStr">
        <is>
          <t>2026-01-11 21:43:00</t>
        </is>
      </c>
      <c r="E48" t="n">
        <v>4999</v>
      </c>
      <c r="F48" t="inlineStr">
        <is>
          <t>Netbanking</t>
        </is>
      </c>
      <c r="G48" t="inlineStr">
        <is>
          <t>captured</t>
        </is>
      </c>
      <c r="H48" t="n">
        <v>59</v>
      </c>
      <c r="I48">
        <f>IFERROR(VLOOKUP(C48, Merchants!$A$2:$D$41, 2, FALSE), "Merchant not found")</f>
        <v/>
      </c>
      <c r="J48">
        <f>IFERROR(VLOOKUP(C48, Merchants!$A$2:$D$41, 3, FALSE), "Merchant not found")</f>
        <v/>
      </c>
      <c r="K48">
        <f>IFERROR(VLOOKUP(C48, Merchants!$A$2:$D$41, 4, FALSE), "Merchant not found")</f>
        <v/>
      </c>
      <c r="L48">
        <f>HLOOKUP(F48, Fee_Tiers!$B$1:$E$2, 2, FALSE)</f>
        <v/>
      </c>
      <c r="M48">
        <f>IF(AND(E48&gt;5000, K48&lt;&gt;"&gt;East"), "High-Value Merchant Day", "Standard")</f>
        <v/>
      </c>
    </row>
    <row r="49">
      <c r="A49" t="inlineStr">
        <is>
          <t>TXN100047</t>
        </is>
      </c>
      <c r="B49" t="n">
        <v>274</v>
      </c>
      <c r="C49" t="n">
        <v>2</v>
      </c>
      <c r="D49" t="inlineStr">
        <is>
          <t>2026-01-30 04:39:00</t>
        </is>
      </c>
      <c r="E49" t="n">
        <v>299</v>
      </c>
      <c r="F49" t="inlineStr">
        <is>
          <t>UPI</t>
        </is>
      </c>
      <c r="G49" t="inlineStr">
        <is>
          <t>captured</t>
        </is>
      </c>
      <c r="H49" t="n">
        <v>50</v>
      </c>
      <c r="I49">
        <f>IFERROR(VLOOKUP(C49, Merchants!$A$2:$D$41, 2, FALSE), "Merchant not found")</f>
        <v/>
      </c>
      <c r="J49">
        <f>IFERROR(VLOOKUP(C49, Merchants!$A$2:$D$41, 3, FALSE), "Merchant not found")</f>
        <v/>
      </c>
      <c r="K49">
        <f>IFERROR(VLOOKUP(C49, Merchants!$A$2:$D$41, 4, FALSE), "Merchant not found")</f>
        <v/>
      </c>
      <c r="L49">
        <f>HLOOKUP(F49, Fee_Tiers!$B$1:$E$2, 2, FALSE)</f>
        <v/>
      </c>
      <c r="M49">
        <f>IF(AND(E49&gt;5000, K49&lt;&gt;"&gt;East"), "High-Value Merchant Day", "Standard")</f>
        <v/>
      </c>
    </row>
    <row r="50">
      <c r="A50" t="inlineStr">
        <is>
          <t>TXN100048</t>
        </is>
      </c>
      <c r="B50" t="n">
        <v>14</v>
      </c>
      <c r="C50" t="n">
        <v>6</v>
      </c>
      <c r="D50" t="inlineStr">
        <is>
          <t>2026-01-19 18:42:00</t>
        </is>
      </c>
      <c r="E50" t="n">
        <v>49</v>
      </c>
      <c r="F50" t="inlineStr">
        <is>
          <t>Wallet</t>
        </is>
      </c>
      <c r="G50" t="inlineStr">
        <is>
          <t>captured</t>
        </is>
      </c>
      <c r="H50" t="n">
        <v>82</v>
      </c>
      <c r="I50">
        <f>IFERROR(VLOOKUP(C50, Merchants!$A$2:$D$41, 2, FALSE), "Merchant not found")</f>
        <v/>
      </c>
      <c r="J50">
        <f>IFERROR(VLOOKUP(C50, Merchants!$A$2:$D$41, 3, FALSE), "Merchant not found")</f>
        <v/>
      </c>
      <c r="K50">
        <f>IFERROR(VLOOKUP(C50, Merchants!$A$2:$D$41, 4, FALSE), "Merchant not found")</f>
        <v/>
      </c>
      <c r="L50">
        <f>HLOOKUP(F50, Fee_Tiers!$B$1:$E$2, 2, FALSE)</f>
        <v/>
      </c>
      <c r="M50">
        <f>IF(AND(E50&gt;5000, K50&lt;&gt;"&gt;East"), "High-Value Merchant Day", "Standard")</f>
        <v/>
      </c>
    </row>
    <row r="51">
      <c r="A51" t="inlineStr">
        <is>
          <t>TXN100049</t>
        </is>
      </c>
      <c r="B51" t="n">
        <v>237</v>
      </c>
      <c r="C51" t="n">
        <v>12</v>
      </c>
      <c r="D51" t="inlineStr">
        <is>
          <t>2026-01-14 04:55:00</t>
        </is>
      </c>
      <c r="E51" t="n">
        <v>49</v>
      </c>
      <c r="F51" t="inlineStr">
        <is>
          <t>UPI</t>
        </is>
      </c>
      <c r="G51" t="inlineStr">
        <is>
          <t>captured</t>
        </is>
      </c>
      <c r="H51" t="n">
        <v>6</v>
      </c>
      <c r="I51">
        <f>IFERROR(VLOOKUP(C51, Merchants!$A$2:$D$41, 2, FALSE), "Merchant not found")</f>
        <v/>
      </c>
      <c r="J51">
        <f>IFERROR(VLOOKUP(C51, Merchants!$A$2:$D$41, 3, FALSE), "Merchant not found")</f>
        <v/>
      </c>
      <c r="K51">
        <f>IFERROR(VLOOKUP(C51, Merchants!$A$2:$D$41, 4, FALSE), "Merchant not found")</f>
        <v/>
      </c>
      <c r="L51">
        <f>HLOOKUP(F51, Fee_Tiers!$B$1:$E$2, 2, FALSE)</f>
        <v/>
      </c>
      <c r="M51">
        <f>IF(AND(E51&gt;5000, K51&lt;&gt;"&gt;East"), "High-Value Merchant Day", "Standard")</f>
        <v/>
      </c>
    </row>
    <row r="52">
      <c r="A52" t="inlineStr">
        <is>
          <t>TXN100050</t>
        </is>
      </c>
      <c r="B52" t="n">
        <v>109</v>
      </c>
      <c r="C52" t="n">
        <v>30</v>
      </c>
      <c r="D52" t="inlineStr">
        <is>
          <t>2026-01-09 12:20:00</t>
        </is>
      </c>
      <c r="E52" t="n">
        <v>99</v>
      </c>
      <c r="F52" t="inlineStr">
        <is>
          <t>UPI</t>
        </is>
      </c>
      <c r="G52" t="inlineStr">
        <is>
          <t>captured</t>
        </is>
      </c>
      <c r="H52" t="n">
        <v>41</v>
      </c>
      <c r="I52">
        <f>IFERROR(VLOOKUP(C52, Merchants!$A$2:$D$41, 2, FALSE), "Merchant not found")</f>
        <v/>
      </c>
      <c r="J52">
        <f>IFERROR(VLOOKUP(C52, Merchants!$A$2:$D$41, 3, FALSE), "Merchant not found")</f>
        <v/>
      </c>
      <c r="K52">
        <f>IFERROR(VLOOKUP(C52, Merchants!$A$2:$D$41, 4, FALSE), "Merchant not found")</f>
        <v/>
      </c>
      <c r="L52">
        <f>HLOOKUP(F52, Fee_Tiers!$B$1:$E$2, 2, FALSE)</f>
        <v/>
      </c>
      <c r="M52">
        <f>IF(AND(E52&gt;5000, K52&lt;&gt;"&gt;East"), "High-Value Merchant Day", "Standard")</f>
        <v/>
      </c>
    </row>
    <row r="53">
      <c r="A53" t="inlineStr">
        <is>
          <t>TXN100051</t>
        </is>
      </c>
      <c r="B53" t="n">
        <v>216</v>
      </c>
      <c r="C53" t="n">
        <v>17</v>
      </c>
      <c r="D53" t="inlineStr">
        <is>
          <t>2026-01-11 12:17:00</t>
        </is>
      </c>
      <c r="E53" t="n">
        <v>4999</v>
      </c>
      <c r="F53" t="inlineStr">
        <is>
          <t>UPI</t>
        </is>
      </c>
      <c r="G53" t="inlineStr">
        <is>
          <t>captured</t>
        </is>
      </c>
      <c r="H53" t="n">
        <v>10</v>
      </c>
      <c r="I53">
        <f>IFERROR(VLOOKUP(C53, Merchants!$A$2:$D$41, 2, FALSE), "Merchant not found")</f>
        <v/>
      </c>
      <c r="J53">
        <f>IFERROR(VLOOKUP(C53, Merchants!$A$2:$D$41, 3, FALSE), "Merchant not found")</f>
        <v/>
      </c>
      <c r="K53">
        <f>IFERROR(VLOOKUP(C53, Merchants!$A$2:$D$41, 4, FALSE), "Merchant not found")</f>
        <v/>
      </c>
      <c r="L53">
        <f>HLOOKUP(F53, Fee_Tiers!$B$1:$E$2, 2, FALSE)</f>
        <v/>
      </c>
      <c r="M53">
        <f>IF(AND(E53&gt;5000, K53&lt;&gt;"&gt;East"), "High-Value Merchant Day", "Standard")</f>
        <v/>
      </c>
    </row>
    <row r="54">
      <c r="A54" t="inlineStr">
        <is>
          <t>TXN100052</t>
        </is>
      </c>
      <c r="B54" t="n">
        <v>277</v>
      </c>
      <c r="C54" t="n">
        <v>4</v>
      </c>
      <c r="D54" t="inlineStr">
        <is>
          <t>2026-01-16 00:47:00</t>
        </is>
      </c>
      <c r="E54" t="n">
        <v>799</v>
      </c>
      <c r="F54" t="inlineStr">
        <is>
          <t>UPI</t>
        </is>
      </c>
      <c r="G54" t="inlineStr">
        <is>
          <t>captured</t>
        </is>
      </c>
      <c r="H54" t="n">
        <v>44</v>
      </c>
      <c r="I54">
        <f>IFERROR(VLOOKUP(C54, Merchants!$A$2:$D$41, 2, FALSE), "Merchant not found")</f>
        <v/>
      </c>
      <c r="J54">
        <f>IFERROR(VLOOKUP(C54, Merchants!$A$2:$D$41, 3, FALSE), "Merchant not found")</f>
        <v/>
      </c>
      <c r="K54">
        <f>IFERROR(VLOOKUP(C54, Merchants!$A$2:$D$41, 4, FALSE), "Merchant not found")</f>
        <v/>
      </c>
      <c r="L54">
        <f>HLOOKUP(F54, Fee_Tiers!$B$1:$E$2, 2, FALSE)</f>
        <v/>
      </c>
      <c r="M54">
        <f>IF(AND(E54&gt;5000, K54&lt;&gt;"&gt;East"), "High-Value Merchant Day", "Standard")</f>
        <v/>
      </c>
    </row>
    <row r="55">
      <c r="A55" t="inlineStr">
        <is>
          <t>TXN100053</t>
        </is>
      </c>
      <c r="B55" t="n">
        <v>334</v>
      </c>
      <c r="C55" t="n">
        <v>3</v>
      </c>
      <c r="D55" t="inlineStr">
        <is>
          <t>2026-01-08 20:04:00</t>
        </is>
      </c>
      <c r="E55" t="n">
        <v>149</v>
      </c>
      <c r="F55" t="inlineStr">
        <is>
          <t>Wallet</t>
        </is>
      </c>
      <c r="G55" t="inlineStr">
        <is>
          <t>captured</t>
        </is>
      </c>
      <c r="H55" t="n">
        <v>96</v>
      </c>
      <c r="I55">
        <f>IFERROR(VLOOKUP(C55, Merchants!$A$2:$D$41, 2, FALSE), "Merchant not found")</f>
        <v/>
      </c>
      <c r="J55">
        <f>IFERROR(VLOOKUP(C55, Merchants!$A$2:$D$41, 3, FALSE), "Merchant not found")</f>
        <v/>
      </c>
      <c r="K55">
        <f>IFERROR(VLOOKUP(C55, Merchants!$A$2:$D$41, 4, FALSE), "Merchant not found")</f>
        <v/>
      </c>
      <c r="L55">
        <f>HLOOKUP(F55, Fee_Tiers!$B$1:$E$2, 2, FALSE)</f>
        <v/>
      </c>
      <c r="M55">
        <f>IF(AND(E55&gt;5000, K55&lt;&gt;"&gt;East"), "High-Value Merchant Day", "Standard")</f>
        <v/>
      </c>
    </row>
    <row r="56">
      <c r="A56" t="inlineStr">
        <is>
          <t>TXN100054</t>
        </is>
      </c>
      <c r="B56" t="n">
        <v>11</v>
      </c>
      <c r="C56" t="n">
        <v>40</v>
      </c>
      <c r="D56" t="inlineStr">
        <is>
          <t>2026-01-01 07:12:00</t>
        </is>
      </c>
      <c r="E56" t="n">
        <v>299</v>
      </c>
      <c r="F56" t="inlineStr">
        <is>
          <t>UPI</t>
        </is>
      </c>
      <c r="G56" t="inlineStr">
        <is>
          <t>captured</t>
        </is>
      </c>
      <c r="H56" t="n">
        <v>19</v>
      </c>
      <c r="I56">
        <f>IFERROR(VLOOKUP(C56, Merchants!$A$2:$D$41, 2, FALSE), "Merchant not found")</f>
        <v/>
      </c>
      <c r="J56">
        <f>IFERROR(VLOOKUP(C56, Merchants!$A$2:$D$41, 3, FALSE), "Merchant not found")</f>
        <v/>
      </c>
      <c r="K56">
        <f>IFERROR(VLOOKUP(C56, Merchants!$A$2:$D$41, 4, FALSE), "Merchant not found")</f>
        <v/>
      </c>
      <c r="L56">
        <f>HLOOKUP(F56, Fee_Tiers!$B$1:$E$2, 2, FALSE)</f>
        <v/>
      </c>
      <c r="M56">
        <f>IF(AND(E56&gt;5000, K56&lt;&gt;"&gt;East"), "High-Value Merchant Day", "Standard")</f>
        <v/>
      </c>
    </row>
    <row r="57">
      <c r="A57" t="inlineStr">
        <is>
          <t>TXN100055</t>
        </is>
      </c>
      <c r="B57" t="n">
        <v>343</v>
      </c>
      <c r="C57" t="n">
        <v>8</v>
      </c>
      <c r="D57" t="inlineStr">
        <is>
          <t>2026-01-08 04:30:00</t>
        </is>
      </c>
      <c r="E57" t="n">
        <v>99</v>
      </c>
      <c r="F57" t="inlineStr">
        <is>
          <t>UPI</t>
        </is>
      </c>
      <c r="G57" t="inlineStr">
        <is>
          <t>captured</t>
        </is>
      </c>
      <c r="H57" t="n">
        <v>72</v>
      </c>
      <c r="I57">
        <f>IFERROR(VLOOKUP(C57, Merchants!$A$2:$D$41, 2, FALSE), "Merchant not found")</f>
        <v/>
      </c>
      <c r="J57">
        <f>IFERROR(VLOOKUP(C57, Merchants!$A$2:$D$41, 3, FALSE), "Merchant not found")</f>
        <v/>
      </c>
      <c r="K57">
        <f>IFERROR(VLOOKUP(C57, Merchants!$A$2:$D$41, 4, FALSE), "Merchant not found")</f>
        <v/>
      </c>
      <c r="L57">
        <f>HLOOKUP(F57, Fee_Tiers!$B$1:$E$2, 2, FALSE)</f>
        <v/>
      </c>
      <c r="M57">
        <f>IF(AND(E57&gt;5000, K57&lt;&gt;"&gt;East"), "High-Value Merchant Day", "Standard")</f>
        <v/>
      </c>
    </row>
    <row r="58">
      <c r="A58" t="inlineStr">
        <is>
          <t>TXN100056</t>
        </is>
      </c>
      <c r="B58" t="n">
        <v>132</v>
      </c>
      <c r="C58" t="n">
        <v>24</v>
      </c>
      <c r="D58" t="inlineStr">
        <is>
          <t>2026-01-07 14:44:00</t>
        </is>
      </c>
      <c r="E58" t="n">
        <v>299</v>
      </c>
      <c r="F58" t="inlineStr">
        <is>
          <t>Wallet</t>
        </is>
      </c>
      <c r="G58" t="inlineStr">
        <is>
          <t>captured</t>
        </is>
      </c>
      <c r="H58" t="n">
        <v>21</v>
      </c>
      <c r="I58">
        <f>IFERROR(VLOOKUP(C58, Merchants!$A$2:$D$41, 2, FALSE), "Merchant not found")</f>
        <v/>
      </c>
      <c r="J58">
        <f>IFERROR(VLOOKUP(C58, Merchants!$A$2:$D$41, 3, FALSE), "Merchant not found")</f>
        <v/>
      </c>
      <c r="K58">
        <f>IFERROR(VLOOKUP(C58, Merchants!$A$2:$D$41, 4, FALSE), "Merchant not found")</f>
        <v/>
      </c>
      <c r="L58">
        <f>HLOOKUP(F58, Fee_Tiers!$B$1:$E$2, 2, FALSE)</f>
        <v/>
      </c>
      <c r="M58">
        <f>IF(AND(E58&gt;5000, K58&lt;&gt;"&gt;East"), "High-Value Merchant Day", "Standard")</f>
        <v/>
      </c>
    </row>
    <row r="59">
      <c r="A59" t="inlineStr">
        <is>
          <t>TXN100057</t>
        </is>
      </c>
      <c r="B59" t="n">
        <v>59</v>
      </c>
      <c r="C59" t="n">
        <v>11</v>
      </c>
      <c r="D59" t="inlineStr">
        <is>
          <t>2026-01-20 19:47:00</t>
        </is>
      </c>
      <c r="E59" t="n">
        <v>299</v>
      </c>
      <c r="F59" t="inlineStr">
        <is>
          <t>UPI</t>
        </is>
      </c>
      <c r="G59" t="inlineStr">
        <is>
          <t>captured</t>
        </is>
      </c>
      <c r="H59" t="n">
        <v>39</v>
      </c>
      <c r="I59">
        <f>IFERROR(VLOOKUP(C59, Merchants!$A$2:$D$41, 2, FALSE), "Merchant not found")</f>
        <v/>
      </c>
      <c r="J59">
        <f>IFERROR(VLOOKUP(C59, Merchants!$A$2:$D$41, 3, FALSE), "Merchant not found")</f>
        <v/>
      </c>
      <c r="K59">
        <f>IFERROR(VLOOKUP(C59, Merchants!$A$2:$D$41, 4, FALSE), "Merchant not found")</f>
        <v/>
      </c>
      <c r="L59">
        <f>HLOOKUP(F59, Fee_Tiers!$B$1:$E$2, 2, FALSE)</f>
        <v/>
      </c>
      <c r="M59">
        <f>IF(AND(E59&gt;5000, K59&lt;&gt;"&gt;East"), "High-Value Merchant Day", "Standard")</f>
        <v/>
      </c>
    </row>
    <row r="60">
      <c r="A60" t="inlineStr">
        <is>
          <t>TXN100058</t>
        </is>
      </c>
      <c r="B60" t="n">
        <v>160</v>
      </c>
      <c r="C60" t="n">
        <v>37</v>
      </c>
      <c r="D60" t="inlineStr">
        <is>
          <t>2026-01-04 18:01:00</t>
        </is>
      </c>
      <c r="E60" t="n">
        <v>49</v>
      </c>
      <c r="F60" t="inlineStr">
        <is>
          <t>Wallet</t>
        </is>
      </c>
      <c r="G60" t="inlineStr">
        <is>
          <t>captured</t>
        </is>
      </c>
      <c r="H60" t="n">
        <v>86</v>
      </c>
      <c r="I60">
        <f>IFERROR(VLOOKUP(C60, Merchants!$A$2:$D$41, 2, FALSE), "Merchant not found")</f>
        <v/>
      </c>
      <c r="J60">
        <f>IFERROR(VLOOKUP(C60, Merchants!$A$2:$D$41, 3, FALSE), "Merchant not found")</f>
        <v/>
      </c>
      <c r="K60">
        <f>IFERROR(VLOOKUP(C60, Merchants!$A$2:$D$41, 4, FALSE), "Merchant not found")</f>
        <v/>
      </c>
      <c r="L60">
        <f>HLOOKUP(F60, Fee_Tiers!$B$1:$E$2, 2, FALSE)</f>
        <v/>
      </c>
      <c r="M60">
        <f>IF(AND(E60&gt;5000, K60&lt;&gt;"&gt;East"), "High-Value Merchant Day", "Standard")</f>
        <v/>
      </c>
    </row>
    <row r="61">
      <c r="A61" t="inlineStr">
        <is>
          <t>TXN100059</t>
        </is>
      </c>
      <c r="B61" t="n">
        <v>102</v>
      </c>
      <c r="C61" t="n">
        <v>5</v>
      </c>
      <c r="D61" t="inlineStr">
        <is>
          <t>2026-01-30 12:25:00</t>
        </is>
      </c>
      <c r="E61" t="n">
        <v>2999</v>
      </c>
      <c r="F61" t="inlineStr">
        <is>
          <t>UPI</t>
        </is>
      </c>
      <c r="G61" t="inlineStr">
        <is>
          <t>captured</t>
        </is>
      </c>
      <c r="H61" t="n">
        <v>75</v>
      </c>
      <c r="I61">
        <f>IFERROR(VLOOKUP(C61, Merchants!$A$2:$D$41, 2, FALSE), "Merchant not found")</f>
        <v/>
      </c>
      <c r="J61">
        <f>IFERROR(VLOOKUP(C61, Merchants!$A$2:$D$41, 3, FALSE), "Merchant not found")</f>
        <v/>
      </c>
      <c r="K61">
        <f>IFERROR(VLOOKUP(C61, Merchants!$A$2:$D$41, 4, FALSE), "Merchant not found")</f>
        <v/>
      </c>
      <c r="L61">
        <f>HLOOKUP(F61, Fee_Tiers!$B$1:$E$2, 2, FALSE)</f>
        <v/>
      </c>
      <c r="M61">
        <f>IF(AND(E61&gt;5000, K61&lt;&gt;"&gt;East"), "High-Value Merchant Day", "Standard")</f>
        <v/>
      </c>
    </row>
    <row r="62">
      <c r="A62" t="inlineStr">
        <is>
          <t>TXN100060</t>
        </is>
      </c>
      <c r="B62" t="n">
        <v>53</v>
      </c>
      <c r="C62" t="n">
        <v>20</v>
      </c>
      <c r="D62" t="inlineStr">
        <is>
          <t>2026-01-23 20:15:00</t>
        </is>
      </c>
      <c r="E62" t="n">
        <v>49</v>
      </c>
      <c r="F62" t="inlineStr">
        <is>
          <t>Netbanking</t>
        </is>
      </c>
      <c r="G62" t="inlineStr">
        <is>
          <t>captured</t>
        </is>
      </c>
      <c r="H62" t="n">
        <v>87</v>
      </c>
      <c r="I62">
        <f>IFERROR(VLOOKUP(C62, Merchants!$A$2:$D$41, 2, FALSE), "Merchant not found")</f>
        <v/>
      </c>
      <c r="J62">
        <f>IFERROR(VLOOKUP(C62, Merchants!$A$2:$D$41, 3, FALSE), "Merchant not found")</f>
        <v/>
      </c>
      <c r="K62">
        <f>IFERROR(VLOOKUP(C62, Merchants!$A$2:$D$41, 4, FALSE), "Merchant not found")</f>
        <v/>
      </c>
      <c r="L62">
        <f>HLOOKUP(F62, Fee_Tiers!$B$1:$E$2, 2, FALSE)</f>
        <v/>
      </c>
      <c r="M62">
        <f>IF(AND(E62&gt;5000, K62&lt;&gt;"&gt;East"), "High-Value Merchant Day", "Standard")</f>
        <v/>
      </c>
    </row>
    <row r="63">
      <c r="A63" t="inlineStr">
        <is>
          <t>TXN100061</t>
        </is>
      </c>
      <c r="B63" t="n">
        <v>290</v>
      </c>
      <c r="C63" t="n">
        <v>3</v>
      </c>
      <c r="D63" t="inlineStr">
        <is>
          <t>2026-01-20 03:50:00</t>
        </is>
      </c>
      <c r="E63" t="n">
        <v>99</v>
      </c>
      <c r="F63" t="inlineStr">
        <is>
          <t>Wallet</t>
        </is>
      </c>
      <c r="G63" t="inlineStr">
        <is>
          <t>captured</t>
        </is>
      </c>
      <c r="H63" t="n">
        <v>44</v>
      </c>
      <c r="I63">
        <f>IFERROR(VLOOKUP(C63, Merchants!$A$2:$D$41, 2, FALSE), "Merchant not found")</f>
        <v/>
      </c>
      <c r="J63">
        <f>IFERROR(VLOOKUP(C63, Merchants!$A$2:$D$41, 3, FALSE), "Merchant not found")</f>
        <v/>
      </c>
      <c r="K63">
        <f>IFERROR(VLOOKUP(C63, Merchants!$A$2:$D$41, 4, FALSE), "Merchant not found")</f>
        <v/>
      </c>
      <c r="L63">
        <f>HLOOKUP(F63, Fee_Tiers!$B$1:$E$2, 2, FALSE)</f>
        <v/>
      </c>
      <c r="M63">
        <f>IF(AND(E63&gt;5000, K63&lt;&gt;"&gt;East"), "High-Value Merchant Day", "Standard")</f>
        <v/>
      </c>
    </row>
    <row r="64">
      <c r="A64" t="inlineStr">
        <is>
          <t>TXN100062</t>
        </is>
      </c>
      <c r="B64" t="n">
        <v>190</v>
      </c>
      <c r="C64" t="n">
        <v>5</v>
      </c>
      <c r="D64" t="inlineStr">
        <is>
          <t>2026-01-18 13:42:00</t>
        </is>
      </c>
      <c r="E64" t="n">
        <v>299</v>
      </c>
      <c r="F64" t="inlineStr">
        <is>
          <t>UPI</t>
        </is>
      </c>
      <c r="G64" t="inlineStr">
        <is>
          <t>captured</t>
        </is>
      </c>
      <c r="H64" t="n">
        <v>64</v>
      </c>
      <c r="I64">
        <f>IFERROR(VLOOKUP(C64, Merchants!$A$2:$D$41, 2, FALSE), "Merchant not found")</f>
        <v/>
      </c>
      <c r="J64">
        <f>IFERROR(VLOOKUP(C64, Merchants!$A$2:$D$41, 3, FALSE), "Merchant not found")</f>
        <v/>
      </c>
      <c r="K64">
        <f>IFERROR(VLOOKUP(C64, Merchants!$A$2:$D$41, 4, FALSE), "Merchant not found")</f>
        <v/>
      </c>
      <c r="L64">
        <f>HLOOKUP(F64, Fee_Tiers!$B$1:$E$2, 2, FALSE)</f>
        <v/>
      </c>
      <c r="M64">
        <f>IF(AND(E64&gt;5000, K64&lt;&gt;"&gt;East"), "High-Value Merchant Day", "Standard")</f>
        <v/>
      </c>
    </row>
    <row r="65">
      <c r="A65" t="inlineStr">
        <is>
          <t>TXN100063</t>
        </is>
      </c>
      <c r="B65" t="n">
        <v>216</v>
      </c>
      <c r="C65" t="n">
        <v>32</v>
      </c>
      <c r="D65" t="inlineStr">
        <is>
          <t>2026-01-21 10:00:00</t>
        </is>
      </c>
      <c r="E65" t="n">
        <v>49</v>
      </c>
      <c r="F65" t="inlineStr">
        <is>
          <t>Card</t>
        </is>
      </c>
      <c r="G65" t="inlineStr">
        <is>
          <t>captured</t>
        </is>
      </c>
      <c r="H65" t="n">
        <v>13</v>
      </c>
      <c r="I65">
        <f>IFERROR(VLOOKUP(C65, Merchants!$A$2:$D$41, 2, FALSE), "Merchant not found")</f>
        <v/>
      </c>
      <c r="J65">
        <f>IFERROR(VLOOKUP(C65, Merchants!$A$2:$D$41, 3, FALSE), "Merchant not found")</f>
        <v/>
      </c>
      <c r="K65">
        <f>IFERROR(VLOOKUP(C65, Merchants!$A$2:$D$41, 4, FALSE), "Merchant not found")</f>
        <v/>
      </c>
      <c r="L65">
        <f>HLOOKUP(F65, Fee_Tiers!$B$1:$E$2, 2, FALSE)</f>
        <v/>
      </c>
      <c r="M65">
        <f>IF(AND(E65&gt;5000, K65&lt;&gt;"&gt;East"), "High-Value Merchant Day", "Standard")</f>
        <v/>
      </c>
    </row>
    <row r="66">
      <c r="A66" t="inlineStr">
        <is>
          <t>TXN100064</t>
        </is>
      </c>
      <c r="B66" t="n">
        <v>236</v>
      </c>
      <c r="C66" t="n">
        <v>10</v>
      </c>
      <c r="D66" t="inlineStr">
        <is>
          <t>2026-01-14 11:40:00</t>
        </is>
      </c>
      <c r="E66" t="n">
        <v>499</v>
      </c>
      <c r="F66" t="inlineStr">
        <is>
          <t>UPI</t>
        </is>
      </c>
      <c r="G66" t="inlineStr">
        <is>
          <t>captured</t>
        </is>
      </c>
      <c r="H66" t="n">
        <v>55</v>
      </c>
      <c r="I66">
        <f>IFERROR(VLOOKUP(C66, Merchants!$A$2:$D$41, 2, FALSE), "Merchant not found")</f>
        <v/>
      </c>
      <c r="J66">
        <f>IFERROR(VLOOKUP(C66, Merchants!$A$2:$D$41, 3, FALSE), "Merchant not found")</f>
        <v/>
      </c>
      <c r="K66">
        <f>IFERROR(VLOOKUP(C66, Merchants!$A$2:$D$41, 4, FALSE), "Merchant not found")</f>
        <v/>
      </c>
      <c r="L66">
        <f>HLOOKUP(F66, Fee_Tiers!$B$1:$E$2, 2, FALSE)</f>
        <v/>
      </c>
      <c r="M66">
        <f>IF(AND(E66&gt;5000, K66&lt;&gt;"&gt;East"), "High-Value Merchant Day", "Standard")</f>
        <v/>
      </c>
    </row>
    <row r="67">
      <c r="A67" t="inlineStr">
        <is>
          <t>TXN100065</t>
        </is>
      </c>
      <c r="B67" t="n">
        <v>334</v>
      </c>
      <c r="C67" t="n">
        <v>18</v>
      </c>
      <c r="D67" t="inlineStr">
        <is>
          <t>2026-01-06 23:33:00</t>
        </is>
      </c>
      <c r="E67" t="n">
        <v>499</v>
      </c>
      <c r="F67" t="inlineStr">
        <is>
          <t>Card</t>
        </is>
      </c>
      <c r="G67" t="inlineStr">
        <is>
          <t>captured</t>
        </is>
      </c>
      <c r="H67" t="n">
        <v>78</v>
      </c>
      <c r="I67">
        <f>IFERROR(VLOOKUP(C67, Merchants!$A$2:$D$41, 2, FALSE), "Merchant not found")</f>
        <v/>
      </c>
      <c r="J67">
        <f>IFERROR(VLOOKUP(C67, Merchants!$A$2:$D$41, 3, FALSE), "Merchant not found")</f>
        <v/>
      </c>
      <c r="K67">
        <f>IFERROR(VLOOKUP(C67, Merchants!$A$2:$D$41, 4, FALSE), "Merchant not found")</f>
        <v/>
      </c>
      <c r="L67">
        <f>HLOOKUP(F67, Fee_Tiers!$B$1:$E$2, 2, FALSE)</f>
        <v/>
      </c>
      <c r="M67">
        <f>IF(AND(E67&gt;5000, K67&lt;&gt;"&gt;East"), "High-Value Merchant Day", "Standard")</f>
        <v/>
      </c>
    </row>
    <row r="68">
      <c r="A68" t="inlineStr">
        <is>
          <t>TXN100066</t>
        </is>
      </c>
      <c r="B68" t="n">
        <v>248</v>
      </c>
      <c r="C68" t="n">
        <v>30</v>
      </c>
      <c r="D68" t="inlineStr">
        <is>
          <t>2026-01-26 17:49:00</t>
        </is>
      </c>
      <c r="E68" t="n">
        <v>799</v>
      </c>
      <c r="F68" t="inlineStr">
        <is>
          <t>Wallet</t>
        </is>
      </c>
      <c r="G68" t="inlineStr">
        <is>
          <t>captured</t>
        </is>
      </c>
      <c r="H68" t="n">
        <v>55</v>
      </c>
      <c r="I68">
        <f>IFERROR(VLOOKUP(C68, Merchants!$A$2:$D$41, 2, FALSE), "Merchant not found")</f>
        <v/>
      </c>
      <c r="J68">
        <f>IFERROR(VLOOKUP(C68, Merchants!$A$2:$D$41, 3, FALSE), "Merchant not found")</f>
        <v/>
      </c>
      <c r="K68">
        <f>IFERROR(VLOOKUP(C68, Merchants!$A$2:$D$41, 4, FALSE), "Merchant not found")</f>
        <v/>
      </c>
      <c r="L68">
        <f>HLOOKUP(F68, Fee_Tiers!$B$1:$E$2, 2, FALSE)</f>
        <v/>
      </c>
      <c r="M68">
        <f>IF(AND(E68&gt;5000, K68&lt;&gt;"&gt;East"), "High-Value Merchant Day", "Standard")</f>
        <v/>
      </c>
    </row>
    <row r="69">
      <c r="A69" t="inlineStr">
        <is>
          <t>TXN100067</t>
        </is>
      </c>
      <c r="B69" t="n">
        <v>138</v>
      </c>
      <c r="C69" t="n">
        <v>21</v>
      </c>
      <c r="D69" t="inlineStr">
        <is>
          <t>2026-01-27 23:37:00</t>
        </is>
      </c>
      <c r="E69" t="n">
        <v>49</v>
      </c>
      <c r="F69" t="inlineStr">
        <is>
          <t>Card</t>
        </is>
      </c>
      <c r="G69" t="inlineStr">
        <is>
          <t>captured</t>
        </is>
      </c>
      <c r="H69" t="n">
        <v>31</v>
      </c>
      <c r="I69">
        <f>IFERROR(VLOOKUP(C69, Merchants!$A$2:$D$41, 2, FALSE), "Merchant not found")</f>
        <v/>
      </c>
      <c r="J69">
        <f>IFERROR(VLOOKUP(C69, Merchants!$A$2:$D$41, 3, FALSE), "Merchant not found")</f>
        <v/>
      </c>
      <c r="K69">
        <f>IFERROR(VLOOKUP(C69, Merchants!$A$2:$D$41, 4, FALSE), "Merchant not found")</f>
        <v/>
      </c>
      <c r="L69">
        <f>HLOOKUP(F69, Fee_Tiers!$B$1:$E$2, 2, FALSE)</f>
        <v/>
      </c>
      <c r="M69">
        <f>IF(AND(E69&gt;5000, K69&lt;&gt;"&gt;East"), "High-Value Merchant Day", "Standard")</f>
        <v/>
      </c>
    </row>
    <row r="70">
      <c r="A70" t="inlineStr">
        <is>
          <t>TXN100068</t>
        </is>
      </c>
      <c r="B70" t="n">
        <v>231</v>
      </c>
      <c r="C70" t="n">
        <v>16</v>
      </c>
      <c r="D70" t="inlineStr">
        <is>
          <t>2026-01-27 02:17:00</t>
        </is>
      </c>
      <c r="E70" t="n">
        <v>49</v>
      </c>
      <c r="F70" t="inlineStr">
        <is>
          <t>UPI</t>
        </is>
      </c>
      <c r="G70" t="inlineStr">
        <is>
          <t>captured</t>
        </is>
      </c>
      <c r="H70" t="n">
        <v>96</v>
      </c>
      <c r="I70">
        <f>IFERROR(VLOOKUP(C70, Merchants!$A$2:$D$41, 2, FALSE), "Merchant not found")</f>
        <v/>
      </c>
      <c r="J70">
        <f>IFERROR(VLOOKUP(C70, Merchants!$A$2:$D$41, 3, FALSE), "Merchant not found")</f>
        <v/>
      </c>
      <c r="K70">
        <f>IFERROR(VLOOKUP(C70, Merchants!$A$2:$D$41, 4, FALSE), "Merchant not found")</f>
        <v/>
      </c>
      <c r="L70">
        <f>HLOOKUP(F70, Fee_Tiers!$B$1:$E$2, 2, FALSE)</f>
        <v/>
      </c>
      <c r="M70">
        <f>IF(AND(E70&gt;5000, K70&lt;&gt;"&gt;East"), "High-Value Merchant Day", "Standard")</f>
        <v/>
      </c>
    </row>
    <row r="71">
      <c r="A71" t="inlineStr">
        <is>
          <t>TXN100069</t>
        </is>
      </c>
      <c r="B71" t="n">
        <v>343</v>
      </c>
      <c r="C71" t="n">
        <v>25</v>
      </c>
      <c r="D71" t="inlineStr">
        <is>
          <t>2026-01-15 18:39:00</t>
        </is>
      </c>
      <c r="E71" t="n">
        <v>49</v>
      </c>
      <c r="F71" t="inlineStr">
        <is>
          <t>UPI</t>
        </is>
      </c>
      <c r="G71" t="inlineStr">
        <is>
          <t>captured</t>
        </is>
      </c>
      <c r="H71" t="n">
        <v>43</v>
      </c>
      <c r="I71">
        <f>IFERROR(VLOOKUP(C71, Merchants!$A$2:$D$41, 2, FALSE), "Merchant not found")</f>
        <v/>
      </c>
      <c r="J71">
        <f>IFERROR(VLOOKUP(C71, Merchants!$A$2:$D$41, 3, FALSE), "Merchant not found")</f>
        <v/>
      </c>
      <c r="K71">
        <f>IFERROR(VLOOKUP(C71, Merchants!$A$2:$D$41, 4, FALSE), "Merchant not found")</f>
        <v/>
      </c>
      <c r="L71">
        <f>HLOOKUP(F71, Fee_Tiers!$B$1:$E$2, 2, FALSE)</f>
        <v/>
      </c>
      <c r="M71">
        <f>IF(AND(E71&gt;5000, K71&lt;&gt;"&gt;East"), "High-Value Merchant Day", "Standard")</f>
        <v/>
      </c>
    </row>
    <row r="72">
      <c r="A72" t="inlineStr">
        <is>
          <t>TXN100070</t>
        </is>
      </c>
      <c r="B72" t="n">
        <v>167</v>
      </c>
      <c r="C72" t="n">
        <v>12</v>
      </c>
      <c r="D72" t="inlineStr">
        <is>
          <t>2026-01-01 15:54:00</t>
        </is>
      </c>
      <c r="E72" t="n">
        <v>499</v>
      </c>
      <c r="F72" t="inlineStr">
        <is>
          <t>Wallet</t>
        </is>
      </c>
      <c r="G72" t="inlineStr">
        <is>
          <t>captured</t>
        </is>
      </c>
      <c r="H72" t="n">
        <v>62</v>
      </c>
      <c r="I72">
        <f>IFERROR(VLOOKUP(C72, Merchants!$A$2:$D$41, 2, FALSE), "Merchant not found")</f>
        <v/>
      </c>
      <c r="J72">
        <f>IFERROR(VLOOKUP(C72, Merchants!$A$2:$D$41, 3, FALSE), "Merchant not found")</f>
        <v/>
      </c>
      <c r="K72">
        <f>IFERROR(VLOOKUP(C72, Merchants!$A$2:$D$41, 4, FALSE), "Merchant not found")</f>
        <v/>
      </c>
      <c r="L72">
        <f>HLOOKUP(F72, Fee_Tiers!$B$1:$E$2, 2, FALSE)</f>
        <v/>
      </c>
      <c r="M72">
        <f>IF(AND(E72&gt;5000, K72&lt;&gt;"&gt;East"), "High-Value Merchant Day", "Standard")</f>
        <v/>
      </c>
    </row>
    <row r="73">
      <c r="A73" t="inlineStr">
        <is>
          <t>TXN100071</t>
        </is>
      </c>
      <c r="B73" t="n">
        <v>133</v>
      </c>
      <c r="C73" t="n">
        <v>22</v>
      </c>
      <c r="D73" t="inlineStr">
        <is>
          <t>2026-01-07 11:51:00</t>
        </is>
      </c>
      <c r="E73" t="n">
        <v>499</v>
      </c>
      <c r="F73" t="inlineStr">
        <is>
          <t>UPI</t>
        </is>
      </c>
      <c r="G73" t="inlineStr">
        <is>
          <t>captured</t>
        </is>
      </c>
      <c r="H73" t="n">
        <v>35</v>
      </c>
      <c r="I73">
        <f>IFERROR(VLOOKUP(C73, Merchants!$A$2:$D$41, 2, FALSE), "Merchant not found")</f>
        <v/>
      </c>
      <c r="J73">
        <f>IFERROR(VLOOKUP(C73, Merchants!$A$2:$D$41, 3, FALSE), "Merchant not found")</f>
        <v/>
      </c>
      <c r="K73">
        <f>IFERROR(VLOOKUP(C73, Merchants!$A$2:$D$41, 4, FALSE), "Merchant not found")</f>
        <v/>
      </c>
      <c r="L73">
        <f>HLOOKUP(F73, Fee_Tiers!$B$1:$E$2, 2, FALSE)</f>
        <v/>
      </c>
      <c r="M73">
        <f>IF(AND(E73&gt;5000, K73&lt;&gt;"&gt;East"), "High-Value Merchant Day", "Standard")</f>
        <v/>
      </c>
    </row>
    <row r="74">
      <c r="A74" t="inlineStr">
        <is>
          <t>TXN100072</t>
        </is>
      </c>
      <c r="B74" t="n">
        <v>142</v>
      </c>
      <c r="C74" t="n">
        <v>36</v>
      </c>
      <c r="D74" t="inlineStr">
        <is>
          <t>2026-01-29 19:44:00</t>
        </is>
      </c>
      <c r="E74" t="n">
        <v>799</v>
      </c>
      <c r="F74" t="inlineStr">
        <is>
          <t>Wallet</t>
        </is>
      </c>
      <c r="G74" t="inlineStr">
        <is>
          <t>captured</t>
        </is>
      </c>
      <c r="H74" t="n">
        <v>1</v>
      </c>
      <c r="I74">
        <f>IFERROR(VLOOKUP(C74, Merchants!$A$2:$D$41, 2, FALSE), "Merchant not found")</f>
        <v/>
      </c>
      <c r="J74">
        <f>IFERROR(VLOOKUP(C74, Merchants!$A$2:$D$41, 3, FALSE), "Merchant not found")</f>
        <v/>
      </c>
      <c r="K74">
        <f>IFERROR(VLOOKUP(C74, Merchants!$A$2:$D$41, 4, FALSE), "Merchant not found")</f>
        <v/>
      </c>
      <c r="L74">
        <f>HLOOKUP(F74, Fee_Tiers!$B$1:$E$2, 2, FALSE)</f>
        <v/>
      </c>
      <c r="M74">
        <f>IF(AND(E74&gt;5000, K74&lt;&gt;"&gt;East"), "High-Value Merchant Day", "Standard")</f>
        <v/>
      </c>
    </row>
    <row r="75">
      <c r="A75" t="inlineStr">
        <is>
          <t>TXN100073</t>
        </is>
      </c>
      <c r="B75" t="n">
        <v>124</v>
      </c>
      <c r="C75" t="n">
        <v>27</v>
      </c>
      <c r="D75" t="inlineStr">
        <is>
          <t>2026-01-17 06:05:00</t>
        </is>
      </c>
      <c r="E75" t="n">
        <v>499</v>
      </c>
      <c r="F75" t="inlineStr">
        <is>
          <t>Wallet</t>
        </is>
      </c>
      <c r="G75" t="inlineStr">
        <is>
          <t>captured</t>
        </is>
      </c>
      <c r="H75" t="n">
        <v>62</v>
      </c>
      <c r="I75">
        <f>IFERROR(VLOOKUP(C75, Merchants!$A$2:$D$41, 2, FALSE), "Merchant not found")</f>
        <v/>
      </c>
      <c r="J75">
        <f>IFERROR(VLOOKUP(C75, Merchants!$A$2:$D$41, 3, FALSE), "Merchant not found")</f>
        <v/>
      </c>
      <c r="K75">
        <f>IFERROR(VLOOKUP(C75, Merchants!$A$2:$D$41, 4, FALSE), "Merchant not found")</f>
        <v/>
      </c>
      <c r="L75">
        <f>HLOOKUP(F75, Fee_Tiers!$B$1:$E$2, 2, FALSE)</f>
        <v/>
      </c>
      <c r="M75">
        <f>IF(AND(E75&gt;5000, K75&lt;&gt;"&gt;East"), "High-Value Merchant Day", "Standard")</f>
        <v/>
      </c>
    </row>
    <row r="76">
      <c r="A76" t="inlineStr">
        <is>
          <t>TXN100074</t>
        </is>
      </c>
      <c r="B76" t="n">
        <v>244</v>
      </c>
      <c r="C76" t="n">
        <v>32</v>
      </c>
      <c r="D76" t="inlineStr">
        <is>
          <t>2026-01-18 07:44:00</t>
        </is>
      </c>
      <c r="E76" t="n">
        <v>149</v>
      </c>
      <c r="F76" t="inlineStr">
        <is>
          <t>UPI</t>
        </is>
      </c>
      <c r="G76" t="inlineStr">
        <is>
          <t>captured</t>
        </is>
      </c>
      <c r="H76" t="n">
        <v>57</v>
      </c>
      <c r="I76">
        <f>IFERROR(VLOOKUP(C76, Merchants!$A$2:$D$41, 2, FALSE), "Merchant not found")</f>
        <v/>
      </c>
      <c r="J76">
        <f>IFERROR(VLOOKUP(C76, Merchants!$A$2:$D$41, 3, FALSE), "Merchant not found")</f>
        <v/>
      </c>
      <c r="K76">
        <f>IFERROR(VLOOKUP(C76, Merchants!$A$2:$D$41, 4, FALSE), "Merchant not found")</f>
        <v/>
      </c>
      <c r="L76">
        <f>HLOOKUP(F76, Fee_Tiers!$B$1:$E$2, 2, FALSE)</f>
        <v/>
      </c>
      <c r="M76">
        <f>IF(AND(E76&gt;5000, K76&lt;&gt;"&gt;East"), "High-Value Merchant Day", "Standard")</f>
        <v/>
      </c>
    </row>
    <row r="77">
      <c r="A77" t="inlineStr">
        <is>
          <t>TXN100075</t>
        </is>
      </c>
      <c r="B77" t="n">
        <v>151</v>
      </c>
      <c r="C77" t="n">
        <v>15</v>
      </c>
      <c r="D77" t="inlineStr">
        <is>
          <t>2026-01-26 00:05:00</t>
        </is>
      </c>
      <c r="E77" t="n">
        <v>4999</v>
      </c>
      <c r="F77" t="inlineStr">
        <is>
          <t>UPI</t>
        </is>
      </c>
      <c r="G77" t="inlineStr">
        <is>
          <t>captured</t>
        </is>
      </c>
      <c r="H77" t="n">
        <v>51</v>
      </c>
      <c r="I77">
        <f>IFERROR(VLOOKUP(C77, Merchants!$A$2:$D$41, 2, FALSE), "Merchant not found")</f>
        <v/>
      </c>
      <c r="J77">
        <f>IFERROR(VLOOKUP(C77, Merchants!$A$2:$D$41, 3, FALSE), "Merchant not found")</f>
        <v/>
      </c>
      <c r="K77">
        <f>IFERROR(VLOOKUP(C77, Merchants!$A$2:$D$41, 4, FALSE), "Merchant not found")</f>
        <v/>
      </c>
      <c r="L77">
        <f>HLOOKUP(F77, Fee_Tiers!$B$1:$E$2, 2, FALSE)</f>
        <v/>
      </c>
      <c r="M77">
        <f>IF(AND(E77&gt;5000, K77&lt;&gt;"&gt;East"), "High-Value Merchant Day", "Standard")</f>
        <v/>
      </c>
    </row>
    <row r="78">
      <c r="A78" t="inlineStr">
        <is>
          <t>TXN100076</t>
        </is>
      </c>
      <c r="B78" t="n">
        <v>340</v>
      </c>
      <c r="C78" t="n">
        <v>38</v>
      </c>
      <c r="D78" t="inlineStr">
        <is>
          <t>2026-01-23 07:19:00</t>
        </is>
      </c>
      <c r="E78" t="n">
        <v>499</v>
      </c>
      <c r="F78" t="inlineStr">
        <is>
          <t>Card</t>
        </is>
      </c>
      <c r="G78" t="inlineStr">
        <is>
          <t>captured</t>
        </is>
      </c>
      <c r="H78" t="n">
        <v>47</v>
      </c>
      <c r="I78">
        <f>IFERROR(VLOOKUP(C78, Merchants!$A$2:$D$41, 2, FALSE), "Merchant not found")</f>
        <v/>
      </c>
      <c r="J78">
        <f>IFERROR(VLOOKUP(C78, Merchants!$A$2:$D$41, 3, FALSE), "Merchant not found")</f>
        <v/>
      </c>
      <c r="K78">
        <f>IFERROR(VLOOKUP(C78, Merchants!$A$2:$D$41, 4, FALSE), "Merchant not found")</f>
        <v/>
      </c>
      <c r="L78">
        <f>HLOOKUP(F78, Fee_Tiers!$B$1:$E$2, 2, FALSE)</f>
        <v/>
      </c>
      <c r="M78">
        <f>IF(AND(E78&gt;5000, K78&lt;&gt;"&gt;East"), "High-Value Merchant Day", "Standard")</f>
        <v/>
      </c>
    </row>
    <row r="79">
      <c r="A79" t="inlineStr">
        <is>
          <t>TXN100077</t>
        </is>
      </c>
      <c r="B79" t="n">
        <v>177</v>
      </c>
      <c r="C79" t="n">
        <v>28</v>
      </c>
      <c r="D79" t="inlineStr">
        <is>
          <t>2026-01-16 17:33:00</t>
        </is>
      </c>
      <c r="E79" t="n">
        <v>299</v>
      </c>
      <c r="F79" t="inlineStr">
        <is>
          <t>UPI</t>
        </is>
      </c>
      <c r="G79" t="inlineStr">
        <is>
          <t>captured</t>
        </is>
      </c>
      <c r="H79" t="n">
        <v>95</v>
      </c>
      <c r="I79">
        <f>IFERROR(VLOOKUP(C79, Merchants!$A$2:$D$41, 2, FALSE), "Merchant not found")</f>
        <v/>
      </c>
      <c r="J79">
        <f>IFERROR(VLOOKUP(C79, Merchants!$A$2:$D$41, 3, FALSE), "Merchant not found")</f>
        <v/>
      </c>
      <c r="K79">
        <f>IFERROR(VLOOKUP(C79, Merchants!$A$2:$D$41, 4, FALSE), "Merchant not found")</f>
        <v/>
      </c>
      <c r="L79">
        <f>HLOOKUP(F79, Fee_Tiers!$B$1:$E$2, 2, FALSE)</f>
        <v/>
      </c>
      <c r="M79">
        <f>IF(AND(E79&gt;5000, K79&lt;&gt;"&gt;East"), "High-Value Merchant Day", "Standard")</f>
        <v/>
      </c>
    </row>
    <row r="80">
      <c r="A80" t="inlineStr">
        <is>
          <t>TXN100078</t>
        </is>
      </c>
      <c r="B80" t="n">
        <v>233</v>
      </c>
      <c r="C80" t="n">
        <v>18</v>
      </c>
      <c r="D80" t="inlineStr">
        <is>
          <t>2026-01-18 10:22:00</t>
        </is>
      </c>
      <c r="E80" t="n">
        <v>499</v>
      </c>
      <c r="F80" t="inlineStr">
        <is>
          <t>UPI</t>
        </is>
      </c>
      <c r="G80" t="inlineStr">
        <is>
          <t>captured</t>
        </is>
      </c>
      <c r="H80" t="n">
        <v>39</v>
      </c>
      <c r="I80">
        <f>IFERROR(VLOOKUP(C80, Merchants!$A$2:$D$41, 2, FALSE), "Merchant not found")</f>
        <v/>
      </c>
      <c r="J80">
        <f>IFERROR(VLOOKUP(C80, Merchants!$A$2:$D$41, 3, FALSE), "Merchant not found")</f>
        <v/>
      </c>
      <c r="K80">
        <f>IFERROR(VLOOKUP(C80, Merchants!$A$2:$D$41, 4, FALSE), "Merchant not found")</f>
        <v/>
      </c>
      <c r="L80">
        <f>HLOOKUP(F80, Fee_Tiers!$B$1:$E$2, 2, FALSE)</f>
        <v/>
      </c>
      <c r="M80">
        <f>IF(AND(E80&gt;5000, K80&lt;&gt;"&gt;East"), "High-Value Merchant Day", "Standard")</f>
        <v/>
      </c>
    </row>
    <row r="81">
      <c r="A81" t="inlineStr">
        <is>
          <t>TXN100079</t>
        </is>
      </c>
      <c r="B81" t="n">
        <v>99</v>
      </c>
      <c r="C81" t="n">
        <v>21</v>
      </c>
      <c r="D81" t="inlineStr">
        <is>
          <t>2026-01-09 07:07:00</t>
        </is>
      </c>
      <c r="E81" t="n">
        <v>499</v>
      </c>
      <c r="F81" t="inlineStr">
        <is>
          <t>UPI</t>
        </is>
      </c>
      <c r="G81" t="inlineStr">
        <is>
          <t>captured</t>
        </is>
      </c>
      <c r="H81" t="n">
        <v>15</v>
      </c>
      <c r="I81">
        <f>IFERROR(VLOOKUP(C81, Merchants!$A$2:$D$41, 2, FALSE), "Merchant not found")</f>
        <v/>
      </c>
      <c r="J81">
        <f>IFERROR(VLOOKUP(C81, Merchants!$A$2:$D$41, 3, FALSE), "Merchant not found")</f>
        <v/>
      </c>
      <c r="K81">
        <f>IFERROR(VLOOKUP(C81, Merchants!$A$2:$D$41, 4, FALSE), "Merchant not found")</f>
        <v/>
      </c>
      <c r="L81">
        <f>HLOOKUP(F81, Fee_Tiers!$B$1:$E$2, 2, FALSE)</f>
        <v/>
      </c>
      <c r="M81">
        <f>IF(AND(E81&gt;5000, K81&lt;&gt;"&gt;East"), "High-Value Merchant Day", "Standard")</f>
        <v/>
      </c>
    </row>
    <row r="82">
      <c r="A82" t="inlineStr">
        <is>
          <t>TXN100080</t>
        </is>
      </c>
      <c r="B82" t="n">
        <v>95</v>
      </c>
      <c r="C82" t="n">
        <v>13</v>
      </c>
      <c r="D82" t="inlineStr">
        <is>
          <t>2026-01-24 17:48:00</t>
        </is>
      </c>
      <c r="E82" t="n">
        <v>2999</v>
      </c>
      <c r="F82" t="inlineStr">
        <is>
          <t>Netbanking</t>
        </is>
      </c>
      <c r="G82" t="inlineStr">
        <is>
          <t>failed</t>
        </is>
      </c>
      <c r="H82" t="n">
        <v>27</v>
      </c>
      <c r="I82">
        <f>IFERROR(VLOOKUP(C82, Merchants!$A$2:$D$41, 2, FALSE), "Merchant not found")</f>
        <v/>
      </c>
      <c r="J82">
        <f>IFERROR(VLOOKUP(C82, Merchants!$A$2:$D$41, 3, FALSE), "Merchant not found")</f>
        <v/>
      </c>
      <c r="K82">
        <f>IFERROR(VLOOKUP(C82, Merchants!$A$2:$D$41, 4, FALSE), "Merchant not found")</f>
        <v/>
      </c>
      <c r="L82">
        <f>HLOOKUP(F82, Fee_Tiers!$B$1:$E$2, 2, FALSE)</f>
        <v/>
      </c>
      <c r="M82">
        <f>IF(AND(E82&gt;5000, K82&lt;&gt;"&gt;East"), "High-Value Merchant Day", "Standard")</f>
        <v/>
      </c>
    </row>
    <row r="83">
      <c r="A83" t="inlineStr">
        <is>
          <t>TXN100081</t>
        </is>
      </c>
      <c r="B83" t="n">
        <v>302</v>
      </c>
      <c r="C83" t="n">
        <v>34</v>
      </c>
      <c r="D83" t="inlineStr">
        <is>
          <t>2026-01-24 15:17:00</t>
        </is>
      </c>
      <c r="E83" t="n">
        <v>49</v>
      </c>
      <c r="F83" t="inlineStr">
        <is>
          <t>Netbanking</t>
        </is>
      </c>
      <c r="G83" t="inlineStr">
        <is>
          <t>captured</t>
        </is>
      </c>
      <c r="H83" t="n">
        <v>76</v>
      </c>
      <c r="I83">
        <f>IFERROR(VLOOKUP(C83, Merchants!$A$2:$D$41, 2, FALSE), "Merchant not found")</f>
        <v/>
      </c>
      <c r="J83">
        <f>IFERROR(VLOOKUP(C83, Merchants!$A$2:$D$41, 3, FALSE), "Merchant not found")</f>
        <v/>
      </c>
      <c r="K83">
        <f>IFERROR(VLOOKUP(C83, Merchants!$A$2:$D$41, 4, FALSE), "Merchant not found")</f>
        <v/>
      </c>
      <c r="L83">
        <f>HLOOKUP(F83, Fee_Tiers!$B$1:$E$2, 2, FALSE)</f>
        <v/>
      </c>
      <c r="M83">
        <f>IF(AND(E83&gt;5000, K83&lt;&gt;"&gt;East"), "High-Value Merchant Day", "Standard")</f>
        <v/>
      </c>
    </row>
    <row r="84">
      <c r="A84" t="inlineStr">
        <is>
          <t>TXN100082</t>
        </is>
      </c>
      <c r="B84" t="n">
        <v>100</v>
      </c>
      <c r="C84" t="n">
        <v>19</v>
      </c>
      <c r="D84" t="inlineStr">
        <is>
          <t>2026-01-10 03:53:00</t>
        </is>
      </c>
      <c r="E84" t="n">
        <v>2999</v>
      </c>
      <c r="F84" t="inlineStr">
        <is>
          <t>Netbanking</t>
        </is>
      </c>
      <c r="G84" t="inlineStr">
        <is>
          <t>captured</t>
        </is>
      </c>
      <c r="H84" t="n">
        <v>29</v>
      </c>
      <c r="I84">
        <f>IFERROR(VLOOKUP(C84, Merchants!$A$2:$D$41, 2, FALSE), "Merchant not found")</f>
        <v/>
      </c>
      <c r="J84">
        <f>IFERROR(VLOOKUP(C84, Merchants!$A$2:$D$41, 3, FALSE), "Merchant not found")</f>
        <v/>
      </c>
      <c r="K84">
        <f>IFERROR(VLOOKUP(C84, Merchants!$A$2:$D$41, 4, FALSE), "Merchant not found")</f>
        <v/>
      </c>
      <c r="L84">
        <f>HLOOKUP(F84, Fee_Tiers!$B$1:$E$2, 2, FALSE)</f>
        <v/>
      </c>
      <c r="M84">
        <f>IF(AND(E84&gt;5000, K84&lt;&gt;"&gt;East"), "High-Value Merchant Day", "Standard")</f>
        <v/>
      </c>
    </row>
    <row r="85">
      <c r="A85" t="inlineStr">
        <is>
          <t>TXN100083</t>
        </is>
      </c>
      <c r="B85" t="n">
        <v>8</v>
      </c>
      <c r="C85" t="n">
        <v>35</v>
      </c>
      <c r="D85" t="inlineStr">
        <is>
          <t>2026-01-12 05:19:00</t>
        </is>
      </c>
      <c r="E85" t="n">
        <v>99</v>
      </c>
      <c r="F85" t="inlineStr">
        <is>
          <t>UPI</t>
        </is>
      </c>
      <c r="G85" t="inlineStr">
        <is>
          <t>captured</t>
        </is>
      </c>
      <c r="H85" t="n">
        <v>16</v>
      </c>
      <c r="I85">
        <f>IFERROR(VLOOKUP(C85, Merchants!$A$2:$D$41, 2, FALSE), "Merchant not found")</f>
        <v/>
      </c>
      <c r="J85">
        <f>IFERROR(VLOOKUP(C85, Merchants!$A$2:$D$41, 3, FALSE), "Merchant not found")</f>
        <v/>
      </c>
      <c r="K85">
        <f>IFERROR(VLOOKUP(C85, Merchants!$A$2:$D$41, 4, FALSE), "Merchant not found")</f>
        <v/>
      </c>
      <c r="L85">
        <f>HLOOKUP(F85, Fee_Tiers!$B$1:$E$2, 2, FALSE)</f>
        <v/>
      </c>
      <c r="M85">
        <f>IF(AND(E85&gt;5000, K85&lt;&gt;"&gt;East"), "High-Value Merchant Day", "Standard")</f>
        <v/>
      </c>
    </row>
    <row r="86">
      <c r="A86" t="inlineStr">
        <is>
          <t>TXN100084</t>
        </is>
      </c>
      <c r="B86" t="n">
        <v>284</v>
      </c>
      <c r="C86" t="n">
        <v>19</v>
      </c>
      <c r="D86" t="inlineStr">
        <is>
          <t>2026-01-09 01:03:00</t>
        </is>
      </c>
      <c r="E86" t="n">
        <v>99</v>
      </c>
      <c r="F86" t="inlineStr">
        <is>
          <t>UPI</t>
        </is>
      </c>
      <c r="G86" t="inlineStr">
        <is>
          <t>captured</t>
        </is>
      </c>
      <c r="H86" t="n">
        <v>89</v>
      </c>
      <c r="I86">
        <f>IFERROR(VLOOKUP(C86, Merchants!$A$2:$D$41, 2, FALSE), "Merchant not found")</f>
        <v/>
      </c>
      <c r="J86">
        <f>IFERROR(VLOOKUP(C86, Merchants!$A$2:$D$41, 3, FALSE), "Merchant not found")</f>
        <v/>
      </c>
      <c r="K86">
        <f>IFERROR(VLOOKUP(C86, Merchants!$A$2:$D$41, 4, FALSE), "Merchant not found")</f>
        <v/>
      </c>
      <c r="L86">
        <f>HLOOKUP(F86, Fee_Tiers!$B$1:$E$2, 2, FALSE)</f>
        <v/>
      </c>
      <c r="M86">
        <f>IF(AND(E86&gt;5000, K86&lt;&gt;"&gt;East"), "High-Value Merchant Day", "Standard")</f>
        <v/>
      </c>
    </row>
    <row r="87">
      <c r="A87" t="inlineStr">
        <is>
          <t>TXN100085</t>
        </is>
      </c>
      <c r="B87" t="n">
        <v>252</v>
      </c>
      <c r="C87" t="n">
        <v>7</v>
      </c>
      <c r="D87" t="inlineStr">
        <is>
          <t>2026-01-05 20:55:00</t>
        </is>
      </c>
      <c r="E87" t="n">
        <v>2999</v>
      </c>
      <c r="F87" t="inlineStr">
        <is>
          <t>Wallet</t>
        </is>
      </c>
      <c r="G87" t="inlineStr">
        <is>
          <t>captured</t>
        </is>
      </c>
      <c r="H87" t="n">
        <v>1</v>
      </c>
      <c r="I87">
        <f>IFERROR(VLOOKUP(C87, Merchants!$A$2:$D$41, 2, FALSE), "Merchant not found")</f>
        <v/>
      </c>
      <c r="J87">
        <f>IFERROR(VLOOKUP(C87, Merchants!$A$2:$D$41, 3, FALSE), "Merchant not found")</f>
        <v/>
      </c>
      <c r="K87">
        <f>IFERROR(VLOOKUP(C87, Merchants!$A$2:$D$41, 4, FALSE), "Merchant not found")</f>
        <v/>
      </c>
      <c r="L87">
        <f>HLOOKUP(F87, Fee_Tiers!$B$1:$E$2, 2, FALSE)</f>
        <v/>
      </c>
      <c r="M87">
        <f>IF(AND(E87&gt;5000, K87&lt;&gt;"&gt;East"), "High-Value Merchant Day", "Standard")</f>
        <v/>
      </c>
    </row>
    <row r="88">
      <c r="A88" t="inlineStr">
        <is>
          <t>TXN100086</t>
        </is>
      </c>
      <c r="B88" t="n">
        <v>246</v>
      </c>
      <c r="C88" t="n">
        <v>29</v>
      </c>
      <c r="D88" t="inlineStr">
        <is>
          <t>2026-01-19 09:30:00</t>
        </is>
      </c>
      <c r="E88" t="n">
        <v>49</v>
      </c>
      <c r="F88" t="inlineStr">
        <is>
          <t>Wallet</t>
        </is>
      </c>
      <c r="G88" t="inlineStr">
        <is>
          <t>captured</t>
        </is>
      </c>
      <c r="H88" t="n">
        <v>43</v>
      </c>
      <c r="I88">
        <f>IFERROR(VLOOKUP(C88, Merchants!$A$2:$D$41, 2, FALSE), "Merchant not found")</f>
        <v/>
      </c>
      <c r="J88">
        <f>IFERROR(VLOOKUP(C88, Merchants!$A$2:$D$41, 3, FALSE), "Merchant not found")</f>
        <v/>
      </c>
      <c r="K88">
        <f>IFERROR(VLOOKUP(C88, Merchants!$A$2:$D$41, 4, FALSE), "Merchant not found")</f>
        <v/>
      </c>
      <c r="L88">
        <f>HLOOKUP(F88, Fee_Tiers!$B$1:$E$2, 2, FALSE)</f>
        <v/>
      </c>
      <c r="M88">
        <f>IF(AND(E88&gt;5000, K88&lt;&gt;"&gt;East"), "High-Value Merchant Day", "Standard")</f>
        <v/>
      </c>
    </row>
    <row r="89">
      <c r="A89" t="inlineStr">
        <is>
          <t>TXN100087</t>
        </is>
      </c>
      <c r="B89" t="n">
        <v>245</v>
      </c>
      <c r="C89" t="n">
        <v>8</v>
      </c>
      <c r="D89" t="inlineStr">
        <is>
          <t>2026-01-06 01:16:00</t>
        </is>
      </c>
      <c r="E89" t="n">
        <v>49</v>
      </c>
      <c r="F89" t="inlineStr">
        <is>
          <t>UPI</t>
        </is>
      </c>
      <c r="G89" t="inlineStr">
        <is>
          <t>chargeback</t>
        </is>
      </c>
      <c r="H89" t="n">
        <v>8</v>
      </c>
      <c r="I89">
        <f>IFERROR(VLOOKUP(C89, Merchants!$A$2:$D$41, 2, FALSE), "Merchant not found")</f>
        <v/>
      </c>
      <c r="J89">
        <f>IFERROR(VLOOKUP(C89, Merchants!$A$2:$D$41, 3, FALSE), "Merchant not found")</f>
        <v/>
      </c>
      <c r="K89">
        <f>IFERROR(VLOOKUP(C89, Merchants!$A$2:$D$41, 4, FALSE), "Merchant not found")</f>
        <v/>
      </c>
      <c r="L89">
        <f>HLOOKUP(F89, Fee_Tiers!$B$1:$E$2, 2, FALSE)</f>
        <v/>
      </c>
      <c r="M89">
        <f>IF(AND(E89&gt;5000, K89&lt;&gt;"&gt;East"), "High-Value Merchant Day", "Standard")</f>
        <v/>
      </c>
    </row>
    <row r="90">
      <c r="A90" t="inlineStr">
        <is>
          <t>TXN100088</t>
        </is>
      </c>
      <c r="B90" t="n">
        <v>296</v>
      </c>
      <c r="C90" t="n">
        <v>4</v>
      </c>
      <c r="D90" t="inlineStr">
        <is>
          <t>2026-01-13 15:04:00</t>
        </is>
      </c>
      <c r="E90" t="n">
        <v>799</v>
      </c>
      <c r="F90" t="inlineStr">
        <is>
          <t>Wallet</t>
        </is>
      </c>
      <c r="G90" t="inlineStr">
        <is>
          <t>captured</t>
        </is>
      </c>
      <c r="H90" t="n">
        <v>19</v>
      </c>
      <c r="I90">
        <f>IFERROR(VLOOKUP(C90, Merchants!$A$2:$D$41, 2, FALSE), "Merchant not found")</f>
        <v/>
      </c>
      <c r="J90">
        <f>IFERROR(VLOOKUP(C90, Merchants!$A$2:$D$41, 3, FALSE), "Merchant not found")</f>
        <v/>
      </c>
      <c r="K90">
        <f>IFERROR(VLOOKUP(C90, Merchants!$A$2:$D$41, 4, FALSE), "Merchant not found")</f>
        <v/>
      </c>
      <c r="L90">
        <f>HLOOKUP(F90, Fee_Tiers!$B$1:$E$2, 2, FALSE)</f>
        <v/>
      </c>
      <c r="M90">
        <f>IF(AND(E90&gt;5000, K90&lt;&gt;"&gt;East"), "High-Value Merchant Day", "Standard")</f>
        <v/>
      </c>
    </row>
    <row r="91">
      <c r="A91" t="inlineStr">
        <is>
          <t>TXN100089</t>
        </is>
      </c>
      <c r="B91" t="n">
        <v>44</v>
      </c>
      <c r="C91" t="n">
        <v>16</v>
      </c>
      <c r="D91" t="inlineStr">
        <is>
          <t>2026-01-05 18:19:00</t>
        </is>
      </c>
      <c r="E91" t="n">
        <v>149</v>
      </c>
      <c r="F91" t="inlineStr">
        <is>
          <t>UPI</t>
        </is>
      </c>
      <c r="G91" t="inlineStr">
        <is>
          <t>captured</t>
        </is>
      </c>
      <c r="H91" t="n">
        <v>15</v>
      </c>
      <c r="I91">
        <f>IFERROR(VLOOKUP(C91, Merchants!$A$2:$D$41, 2, FALSE), "Merchant not found")</f>
        <v/>
      </c>
      <c r="J91">
        <f>IFERROR(VLOOKUP(C91, Merchants!$A$2:$D$41, 3, FALSE), "Merchant not found")</f>
        <v/>
      </c>
      <c r="K91">
        <f>IFERROR(VLOOKUP(C91, Merchants!$A$2:$D$41, 4, FALSE), "Merchant not found")</f>
        <v/>
      </c>
      <c r="L91">
        <f>HLOOKUP(F91, Fee_Tiers!$B$1:$E$2, 2, FALSE)</f>
        <v/>
      </c>
      <c r="M91">
        <f>IF(AND(E91&gt;5000, K91&lt;&gt;"&gt;East"), "High-Value Merchant Day", "Standard")</f>
        <v/>
      </c>
    </row>
    <row r="92">
      <c r="A92" t="inlineStr">
        <is>
          <t>TXN100090</t>
        </is>
      </c>
      <c r="B92" t="n">
        <v>306</v>
      </c>
      <c r="C92" t="n">
        <v>40</v>
      </c>
      <c r="D92" t="inlineStr">
        <is>
          <t>2026-01-18 13:38:00</t>
        </is>
      </c>
      <c r="E92" t="n">
        <v>799</v>
      </c>
      <c r="F92" t="inlineStr">
        <is>
          <t>Card</t>
        </is>
      </c>
      <c r="G92" t="inlineStr">
        <is>
          <t>captured</t>
        </is>
      </c>
      <c r="H92" t="n">
        <v>28</v>
      </c>
      <c r="I92">
        <f>IFERROR(VLOOKUP(C92, Merchants!$A$2:$D$41, 2, FALSE), "Merchant not found")</f>
        <v/>
      </c>
      <c r="J92">
        <f>IFERROR(VLOOKUP(C92, Merchants!$A$2:$D$41, 3, FALSE), "Merchant not found")</f>
        <v/>
      </c>
      <c r="K92">
        <f>IFERROR(VLOOKUP(C92, Merchants!$A$2:$D$41, 4, FALSE), "Merchant not found")</f>
        <v/>
      </c>
      <c r="L92">
        <f>HLOOKUP(F92, Fee_Tiers!$B$1:$E$2, 2, FALSE)</f>
        <v/>
      </c>
      <c r="M92">
        <f>IF(AND(E92&gt;5000, K92&lt;&gt;"&gt;East"), "High-Value Merchant Day", "Standard")</f>
        <v/>
      </c>
    </row>
    <row r="93">
      <c r="A93" t="inlineStr">
        <is>
          <t>TXN100091</t>
        </is>
      </c>
      <c r="B93" t="n">
        <v>231</v>
      </c>
      <c r="C93" t="n">
        <v>29</v>
      </c>
      <c r="D93" t="inlineStr">
        <is>
          <t>2026-01-25 16:24:00</t>
        </is>
      </c>
      <c r="E93" t="n">
        <v>299</v>
      </c>
      <c r="F93" t="inlineStr">
        <is>
          <t>UPI</t>
        </is>
      </c>
      <c r="G93" t="inlineStr">
        <is>
          <t>captured</t>
        </is>
      </c>
      <c r="H93" t="n">
        <v>38</v>
      </c>
      <c r="I93">
        <f>IFERROR(VLOOKUP(C93, Merchants!$A$2:$D$41, 2, FALSE), "Merchant not found")</f>
        <v/>
      </c>
      <c r="J93">
        <f>IFERROR(VLOOKUP(C93, Merchants!$A$2:$D$41, 3, FALSE), "Merchant not found")</f>
        <v/>
      </c>
      <c r="K93">
        <f>IFERROR(VLOOKUP(C93, Merchants!$A$2:$D$41, 4, FALSE), "Merchant not found")</f>
        <v/>
      </c>
      <c r="L93">
        <f>HLOOKUP(F93, Fee_Tiers!$B$1:$E$2, 2, FALSE)</f>
        <v/>
      </c>
      <c r="M93">
        <f>IF(AND(E93&gt;5000, K93&lt;&gt;"&gt;East"), "High-Value Merchant Day", "Standard")</f>
        <v/>
      </c>
    </row>
    <row r="94">
      <c r="A94" t="inlineStr">
        <is>
          <t>TXN100092</t>
        </is>
      </c>
      <c r="B94" t="n">
        <v>157</v>
      </c>
      <c r="C94" t="n">
        <v>37</v>
      </c>
      <c r="D94" t="inlineStr">
        <is>
          <t>2026-01-28 18:27:00</t>
        </is>
      </c>
      <c r="E94" t="n">
        <v>499</v>
      </c>
      <c r="F94" t="inlineStr">
        <is>
          <t>Wallet</t>
        </is>
      </c>
      <c r="G94" t="inlineStr">
        <is>
          <t>captured</t>
        </is>
      </c>
      <c r="H94" t="n">
        <v>79</v>
      </c>
      <c r="I94">
        <f>IFERROR(VLOOKUP(C94, Merchants!$A$2:$D$41, 2, FALSE), "Merchant not found")</f>
        <v/>
      </c>
      <c r="J94">
        <f>IFERROR(VLOOKUP(C94, Merchants!$A$2:$D$41, 3, FALSE), "Merchant not found")</f>
        <v/>
      </c>
      <c r="K94">
        <f>IFERROR(VLOOKUP(C94, Merchants!$A$2:$D$41, 4, FALSE), "Merchant not found")</f>
        <v/>
      </c>
      <c r="L94">
        <f>HLOOKUP(F94, Fee_Tiers!$B$1:$E$2, 2, FALSE)</f>
        <v/>
      </c>
      <c r="M94">
        <f>IF(AND(E94&gt;5000, K94&lt;&gt;"&gt;East"), "High-Value Merchant Day", "Standard")</f>
        <v/>
      </c>
    </row>
    <row r="95">
      <c r="A95" t="inlineStr">
        <is>
          <t>TXN100093</t>
        </is>
      </c>
      <c r="B95" t="n">
        <v>51</v>
      </c>
      <c r="C95" t="n">
        <v>14</v>
      </c>
      <c r="D95" t="inlineStr">
        <is>
          <t>2026-01-02 19:47:00</t>
        </is>
      </c>
      <c r="E95" t="n">
        <v>1499</v>
      </c>
      <c r="F95" t="inlineStr">
        <is>
          <t>UPI</t>
        </is>
      </c>
      <c r="G95" t="inlineStr">
        <is>
          <t>captured</t>
        </is>
      </c>
      <c r="H95" t="n">
        <v>80</v>
      </c>
      <c r="I95">
        <f>IFERROR(VLOOKUP(C95, Merchants!$A$2:$D$41, 2, FALSE), "Merchant not found")</f>
        <v/>
      </c>
      <c r="J95">
        <f>IFERROR(VLOOKUP(C95, Merchants!$A$2:$D$41, 3, FALSE), "Merchant not found")</f>
        <v/>
      </c>
      <c r="K95">
        <f>IFERROR(VLOOKUP(C95, Merchants!$A$2:$D$41, 4, FALSE), "Merchant not found")</f>
        <v/>
      </c>
      <c r="L95">
        <f>HLOOKUP(F95, Fee_Tiers!$B$1:$E$2, 2, FALSE)</f>
        <v/>
      </c>
      <c r="M95">
        <f>IF(AND(E95&gt;5000, K95&lt;&gt;"&gt;East"), "High-Value Merchant Day", "Standard")</f>
        <v/>
      </c>
    </row>
    <row r="96">
      <c r="A96" t="inlineStr">
        <is>
          <t>TXN100094</t>
        </is>
      </c>
      <c r="B96" t="n">
        <v>42</v>
      </c>
      <c r="C96" t="n">
        <v>11</v>
      </c>
      <c r="D96" t="inlineStr">
        <is>
          <t>2026-01-07 08:42:00</t>
        </is>
      </c>
      <c r="E96" t="n">
        <v>49</v>
      </c>
      <c r="F96" t="inlineStr">
        <is>
          <t>Wallet</t>
        </is>
      </c>
      <c r="G96" t="inlineStr">
        <is>
          <t>captured</t>
        </is>
      </c>
      <c r="H96" t="n">
        <v>30</v>
      </c>
      <c r="I96">
        <f>IFERROR(VLOOKUP(C96, Merchants!$A$2:$D$41, 2, FALSE), "Merchant not found")</f>
        <v/>
      </c>
      <c r="J96">
        <f>IFERROR(VLOOKUP(C96, Merchants!$A$2:$D$41, 3, FALSE), "Merchant not found")</f>
        <v/>
      </c>
      <c r="K96">
        <f>IFERROR(VLOOKUP(C96, Merchants!$A$2:$D$41, 4, FALSE), "Merchant not found")</f>
        <v/>
      </c>
      <c r="L96">
        <f>HLOOKUP(F96, Fee_Tiers!$B$1:$E$2, 2, FALSE)</f>
        <v/>
      </c>
      <c r="M96">
        <f>IF(AND(E96&gt;5000, K96&lt;&gt;"&gt;East"), "High-Value Merchant Day", "Standard")</f>
        <v/>
      </c>
    </row>
    <row r="97">
      <c r="A97" t="inlineStr">
        <is>
          <t>TXN100095</t>
        </is>
      </c>
      <c r="B97" t="n">
        <v>81</v>
      </c>
      <c r="C97" t="n">
        <v>1</v>
      </c>
      <c r="D97" t="inlineStr">
        <is>
          <t>2026-01-06 17:04:00</t>
        </is>
      </c>
      <c r="E97" t="n">
        <v>149</v>
      </c>
      <c r="F97" t="inlineStr">
        <is>
          <t>UPI</t>
        </is>
      </c>
      <c r="G97" t="inlineStr">
        <is>
          <t>captured</t>
        </is>
      </c>
      <c r="H97" t="n">
        <v>52</v>
      </c>
      <c r="I97">
        <f>IFERROR(VLOOKUP(C97, Merchants!$A$2:$D$41, 2, FALSE), "Merchant not found")</f>
        <v/>
      </c>
      <c r="J97">
        <f>IFERROR(VLOOKUP(C97, Merchants!$A$2:$D$41, 3, FALSE), "Merchant not found")</f>
        <v/>
      </c>
      <c r="K97">
        <f>IFERROR(VLOOKUP(C97, Merchants!$A$2:$D$41, 4, FALSE), "Merchant not found")</f>
        <v/>
      </c>
      <c r="L97">
        <f>HLOOKUP(F97, Fee_Tiers!$B$1:$E$2, 2, FALSE)</f>
        <v/>
      </c>
      <c r="M97">
        <f>IF(AND(E97&gt;5000, K97&lt;&gt;"&gt;East"), "High-Value Merchant Day", "Standard")</f>
        <v/>
      </c>
    </row>
    <row r="98">
      <c r="A98" t="inlineStr">
        <is>
          <t>TXN100096</t>
        </is>
      </c>
      <c r="B98" t="n">
        <v>241</v>
      </c>
      <c r="C98" t="n">
        <v>19</v>
      </c>
      <c r="D98" t="inlineStr">
        <is>
          <t>2026-01-15 22:38:00</t>
        </is>
      </c>
      <c r="E98" t="n">
        <v>299</v>
      </c>
      <c r="F98" t="inlineStr">
        <is>
          <t>UPI</t>
        </is>
      </c>
      <c r="G98" t="inlineStr">
        <is>
          <t>captured</t>
        </is>
      </c>
      <c r="H98" t="n">
        <v>4</v>
      </c>
      <c r="I98">
        <f>IFERROR(VLOOKUP(C98, Merchants!$A$2:$D$41, 2, FALSE), "Merchant not found")</f>
        <v/>
      </c>
      <c r="J98">
        <f>IFERROR(VLOOKUP(C98, Merchants!$A$2:$D$41, 3, FALSE), "Merchant not found")</f>
        <v/>
      </c>
      <c r="K98">
        <f>IFERROR(VLOOKUP(C98, Merchants!$A$2:$D$41, 4, FALSE), "Merchant not found")</f>
        <v/>
      </c>
      <c r="L98">
        <f>HLOOKUP(F98, Fee_Tiers!$B$1:$E$2, 2, FALSE)</f>
        <v/>
      </c>
      <c r="M98">
        <f>IF(AND(E98&gt;5000, K98&lt;&gt;"&gt;East"), "High-Value Merchant Day", "Standard")</f>
        <v/>
      </c>
    </row>
    <row r="99">
      <c r="A99" t="inlineStr">
        <is>
          <t>TXN100097</t>
        </is>
      </c>
      <c r="B99" t="n">
        <v>145</v>
      </c>
      <c r="C99" t="n">
        <v>30</v>
      </c>
      <c r="D99" t="inlineStr">
        <is>
          <t>2026-01-08 09:45:00</t>
        </is>
      </c>
      <c r="E99" t="n">
        <v>799</v>
      </c>
      <c r="F99" t="inlineStr">
        <is>
          <t>UPI</t>
        </is>
      </c>
      <c r="G99" t="inlineStr">
        <is>
          <t>captured</t>
        </is>
      </c>
      <c r="H99" t="n">
        <v>9</v>
      </c>
      <c r="I99">
        <f>IFERROR(VLOOKUP(C99, Merchants!$A$2:$D$41, 2, FALSE), "Merchant not found")</f>
        <v/>
      </c>
      <c r="J99">
        <f>IFERROR(VLOOKUP(C99, Merchants!$A$2:$D$41, 3, FALSE), "Merchant not found")</f>
        <v/>
      </c>
      <c r="K99">
        <f>IFERROR(VLOOKUP(C99, Merchants!$A$2:$D$41, 4, FALSE), "Merchant not found")</f>
        <v/>
      </c>
      <c r="L99">
        <f>HLOOKUP(F99, Fee_Tiers!$B$1:$E$2, 2, FALSE)</f>
        <v/>
      </c>
      <c r="M99">
        <f>IF(AND(E99&gt;5000, K99&lt;&gt;"&gt;East"), "High-Value Merchant Day", "Standard")</f>
        <v/>
      </c>
    </row>
    <row r="100">
      <c r="A100" t="inlineStr">
        <is>
          <t>TXN100098</t>
        </is>
      </c>
      <c r="B100" t="n">
        <v>136</v>
      </c>
      <c r="C100" t="n">
        <v>38</v>
      </c>
      <c r="D100" t="inlineStr">
        <is>
          <t>2026-01-22 07:59:00</t>
        </is>
      </c>
      <c r="E100" t="n">
        <v>299</v>
      </c>
      <c r="F100" t="inlineStr">
        <is>
          <t>Card</t>
        </is>
      </c>
      <c r="G100" t="inlineStr">
        <is>
          <t>captured</t>
        </is>
      </c>
      <c r="H100" t="n">
        <v>84</v>
      </c>
      <c r="I100">
        <f>IFERROR(VLOOKUP(C100, Merchants!$A$2:$D$41, 2, FALSE), "Merchant not found")</f>
        <v/>
      </c>
      <c r="J100">
        <f>IFERROR(VLOOKUP(C100, Merchants!$A$2:$D$41, 3, FALSE), "Merchant not found")</f>
        <v/>
      </c>
      <c r="K100">
        <f>IFERROR(VLOOKUP(C100, Merchants!$A$2:$D$41, 4, FALSE), "Merchant not found")</f>
        <v/>
      </c>
      <c r="L100">
        <f>HLOOKUP(F100, Fee_Tiers!$B$1:$E$2, 2, FALSE)</f>
        <v/>
      </c>
      <c r="M100">
        <f>IF(AND(E100&gt;5000, K100&lt;&gt;"&gt;East"), "High-Value Merchant Day", "Standard")</f>
        <v/>
      </c>
    </row>
    <row r="101">
      <c r="A101" t="inlineStr">
        <is>
          <t>TXN100099</t>
        </is>
      </c>
      <c r="B101" t="n">
        <v>59</v>
      </c>
      <c r="C101" t="n">
        <v>35</v>
      </c>
      <c r="D101" t="inlineStr">
        <is>
          <t>2026-01-26 06:27:00</t>
        </is>
      </c>
      <c r="E101" t="n">
        <v>499</v>
      </c>
      <c r="F101" t="inlineStr">
        <is>
          <t>UPI</t>
        </is>
      </c>
      <c r="G101" t="inlineStr">
        <is>
          <t>captured</t>
        </is>
      </c>
      <c r="H101" t="n">
        <v>28</v>
      </c>
      <c r="I101">
        <f>IFERROR(VLOOKUP(C101, Merchants!$A$2:$D$41, 2, FALSE), "Merchant not found")</f>
        <v/>
      </c>
      <c r="J101">
        <f>IFERROR(VLOOKUP(C101, Merchants!$A$2:$D$41, 3, FALSE), "Merchant not found")</f>
        <v/>
      </c>
      <c r="K101">
        <f>IFERROR(VLOOKUP(C101, Merchants!$A$2:$D$41, 4, FALSE), "Merchant not found")</f>
        <v/>
      </c>
      <c r="L101">
        <f>HLOOKUP(F101, Fee_Tiers!$B$1:$E$2, 2, FALSE)</f>
        <v/>
      </c>
      <c r="M101">
        <f>IF(AND(E101&gt;5000, K101&lt;&gt;"&gt;East"), "High-Value Merchant Day", "Standard")</f>
        <v/>
      </c>
    </row>
    <row r="102">
      <c r="A102" t="inlineStr">
        <is>
          <t>TXN100100</t>
        </is>
      </c>
      <c r="B102" t="n">
        <v>137</v>
      </c>
      <c r="C102" t="n">
        <v>10</v>
      </c>
      <c r="D102" t="inlineStr">
        <is>
          <t>2026-01-21 04:58:00</t>
        </is>
      </c>
      <c r="E102" t="n">
        <v>299</v>
      </c>
      <c r="F102" t="inlineStr">
        <is>
          <t>UPI</t>
        </is>
      </c>
      <c r="G102" t="inlineStr">
        <is>
          <t>captured</t>
        </is>
      </c>
      <c r="H102" t="n">
        <v>9</v>
      </c>
      <c r="I102">
        <f>IFERROR(VLOOKUP(C102, Merchants!$A$2:$D$41, 2, FALSE), "Merchant not found")</f>
        <v/>
      </c>
      <c r="J102">
        <f>IFERROR(VLOOKUP(C102, Merchants!$A$2:$D$41, 3, FALSE), "Merchant not found")</f>
        <v/>
      </c>
      <c r="K102">
        <f>IFERROR(VLOOKUP(C102, Merchants!$A$2:$D$41, 4, FALSE), "Merchant not found")</f>
        <v/>
      </c>
      <c r="L102">
        <f>HLOOKUP(F102, Fee_Tiers!$B$1:$E$2, 2, FALSE)</f>
        <v/>
      </c>
      <c r="M102">
        <f>IF(AND(E102&gt;5000, K102&lt;&gt;"&gt;East"), "High-Value Merchant Day", "Standard")</f>
        <v/>
      </c>
    </row>
    <row r="103">
      <c r="A103" t="inlineStr">
        <is>
          <t>TXN100101</t>
        </is>
      </c>
      <c r="B103" t="n">
        <v>158</v>
      </c>
      <c r="C103" t="n">
        <v>39</v>
      </c>
      <c r="D103" t="inlineStr">
        <is>
          <t>2026-01-02 05:50:00</t>
        </is>
      </c>
      <c r="E103" t="n">
        <v>499</v>
      </c>
      <c r="F103" t="inlineStr">
        <is>
          <t>Netbanking</t>
        </is>
      </c>
      <c r="G103" t="inlineStr">
        <is>
          <t>captured</t>
        </is>
      </c>
      <c r="H103" t="n">
        <v>95</v>
      </c>
      <c r="I103">
        <f>IFERROR(VLOOKUP(C103, Merchants!$A$2:$D$41, 2, FALSE), "Merchant not found")</f>
        <v/>
      </c>
      <c r="J103">
        <f>IFERROR(VLOOKUP(C103, Merchants!$A$2:$D$41, 3, FALSE), "Merchant not found")</f>
        <v/>
      </c>
      <c r="K103">
        <f>IFERROR(VLOOKUP(C103, Merchants!$A$2:$D$41, 4, FALSE), "Merchant not found")</f>
        <v/>
      </c>
      <c r="L103">
        <f>HLOOKUP(F103, Fee_Tiers!$B$1:$E$2, 2, FALSE)</f>
        <v/>
      </c>
      <c r="M103">
        <f>IF(AND(E103&gt;5000, K103&lt;&gt;"&gt;East"), "High-Value Merchant Day", "Standard")</f>
        <v/>
      </c>
    </row>
    <row r="104">
      <c r="A104" t="inlineStr">
        <is>
          <t>TXN100102</t>
        </is>
      </c>
      <c r="B104" t="n">
        <v>148</v>
      </c>
      <c r="C104" t="n">
        <v>29</v>
      </c>
      <c r="D104" t="inlineStr">
        <is>
          <t>2026-01-27 18:58:00</t>
        </is>
      </c>
      <c r="E104" t="n">
        <v>99</v>
      </c>
      <c r="F104" t="inlineStr">
        <is>
          <t>Card</t>
        </is>
      </c>
      <c r="G104" t="inlineStr">
        <is>
          <t>captured</t>
        </is>
      </c>
      <c r="H104" t="n">
        <v>15</v>
      </c>
      <c r="I104">
        <f>IFERROR(VLOOKUP(C104, Merchants!$A$2:$D$41, 2, FALSE), "Merchant not found")</f>
        <v/>
      </c>
      <c r="J104">
        <f>IFERROR(VLOOKUP(C104, Merchants!$A$2:$D$41, 3, FALSE), "Merchant not found")</f>
        <v/>
      </c>
      <c r="K104">
        <f>IFERROR(VLOOKUP(C104, Merchants!$A$2:$D$41, 4, FALSE), "Merchant not found")</f>
        <v/>
      </c>
      <c r="L104">
        <f>HLOOKUP(F104, Fee_Tiers!$B$1:$E$2, 2, FALSE)</f>
        <v/>
      </c>
      <c r="M104">
        <f>IF(AND(E104&gt;5000, K104&lt;&gt;"&gt;East"), "High-Value Merchant Day", "Standard")</f>
        <v/>
      </c>
    </row>
    <row r="105">
      <c r="A105" t="inlineStr">
        <is>
          <t>TXN100103</t>
        </is>
      </c>
      <c r="B105" t="n">
        <v>207</v>
      </c>
      <c r="C105" t="n">
        <v>18</v>
      </c>
      <c r="D105" t="inlineStr">
        <is>
          <t>2026-01-15 22:19:00</t>
        </is>
      </c>
      <c r="E105" t="n">
        <v>149</v>
      </c>
      <c r="F105" t="inlineStr">
        <is>
          <t>UPI</t>
        </is>
      </c>
      <c r="G105" t="inlineStr">
        <is>
          <t>captured</t>
        </is>
      </c>
      <c r="H105" t="n">
        <v>64</v>
      </c>
      <c r="I105">
        <f>IFERROR(VLOOKUP(C105, Merchants!$A$2:$D$41, 2, FALSE), "Merchant not found")</f>
        <v/>
      </c>
      <c r="J105">
        <f>IFERROR(VLOOKUP(C105, Merchants!$A$2:$D$41, 3, FALSE), "Merchant not found")</f>
        <v/>
      </c>
      <c r="K105">
        <f>IFERROR(VLOOKUP(C105, Merchants!$A$2:$D$41, 4, FALSE), "Merchant not found")</f>
        <v/>
      </c>
      <c r="L105">
        <f>HLOOKUP(F105, Fee_Tiers!$B$1:$E$2, 2, FALSE)</f>
        <v/>
      </c>
      <c r="M105">
        <f>IF(AND(E105&gt;5000, K105&lt;&gt;"&gt;East"), "High-Value Merchant Day", "Standard")</f>
        <v/>
      </c>
    </row>
    <row r="106">
      <c r="A106" t="inlineStr">
        <is>
          <t>TXN100104</t>
        </is>
      </c>
      <c r="B106" t="n">
        <v>42</v>
      </c>
      <c r="C106" t="n">
        <v>39</v>
      </c>
      <c r="D106" t="inlineStr">
        <is>
          <t>2026-01-18 15:28:00</t>
        </is>
      </c>
      <c r="E106" t="n">
        <v>2999</v>
      </c>
      <c r="F106" t="inlineStr">
        <is>
          <t>Card</t>
        </is>
      </c>
      <c r="G106" t="inlineStr">
        <is>
          <t>captured</t>
        </is>
      </c>
      <c r="H106" t="n">
        <v>5</v>
      </c>
      <c r="I106">
        <f>IFERROR(VLOOKUP(C106, Merchants!$A$2:$D$41, 2, FALSE), "Merchant not found")</f>
        <v/>
      </c>
      <c r="J106">
        <f>IFERROR(VLOOKUP(C106, Merchants!$A$2:$D$41, 3, FALSE), "Merchant not found")</f>
        <v/>
      </c>
      <c r="K106">
        <f>IFERROR(VLOOKUP(C106, Merchants!$A$2:$D$41, 4, FALSE), "Merchant not found")</f>
        <v/>
      </c>
      <c r="L106">
        <f>HLOOKUP(F106, Fee_Tiers!$B$1:$E$2, 2, FALSE)</f>
        <v/>
      </c>
      <c r="M106">
        <f>IF(AND(E106&gt;5000, K106&lt;&gt;"&gt;East"), "High-Value Merchant Day", "Standard")</f>
        <v/>
      </c>
    </row>
    <row r="107">
      <c r="A107" t="inlineStr">
        <is>
          <t>TXN100105</t>
        </is>
      </c>
      <c r="B107" t="n">
        <v>166</v>
      </c>
      <c r="C107" t="n">
        <v>39</v>
      </c>
      <c r="D107" t="inlineStr">
        <is>
          <t>2026-01-29 13:47:00</t>
        </is>
      </c>
      <c r="E107" t="n">
        <v>149</v>
      </c>
      <c r="F107" t="inlineStr">
        <is>
          <t>UPI</t>
        </is>
      </c>
      <c r="G107" t="inlineStr">
        <is>
          <t>captured</t>
        </is>
      </c>
      <c r="H107" t="n">
        <v>32</v>
      </c>
      <c r="I107">
        <f>IFERROR(VLOOKUP(C107, Merchants!$A$2:$D$41, 2, FALSE), "Merchant not found")</f>
        <v/>
      </c>
      <c r="J107">
        <f>IFERROR(VLOOKUP(C107, Merchants!$A$2:$D$41, 3, FALSE), "Merchant not found")</f>
        <v/>
      </c>
      <c r="K107">
        <f>IFERROR(VLOOKUP(C107, Merchants!$A$2:$D$41, 4, FALSE), "Merchant not found")</f>
        <v/>
      </c>
      <c r="L107">
        <f>HLOOKUP(F107, Fee_Tiers!$B$1:$E$2, 2, FALSE)</f>
        <v/>
      </c>
      <c r="M107">
        <f>IF(AND(E107&gt;5000, K107&lt;&gt;"&gt;East"), "High-Value Merchant Day", "Standard")</f>
        <v/>
      </c>
    </row>
    <row r="108">
      <c r="A108" t="inlineStr">
        <is>
          <t>TXN100106</t>
        </is>
      </c>
      <c r="B108" t="n">
        <v>346</v>
      </c>
      <c r="C108" t="n">
        <v>37</v>
      </c>
      <c r="D108" t="inlineStr">
        <is>
          <t>2026-01-01 02:14:00</t>
        </is>
      </c>
      <c r="E108" t="n">
        <v>99</v>
      </c>
      <c r="F108" t="inlineStr">
        <is>
          <t>UPI</t>
        </is>
      </c>
      <c r="G108" t="inlineStr">
        <is>
          <t>captured</t>
        </is>
      </c>
      <c r="H108" t="n">
        <v>75</v>
      </c>
      <c r="I108">
        <f>IFERROR(VLOOKUP(C108, Merchants!$A$2:$D$41, 2, FALSE), "Merchant not found")</f>
        <v/>
      </c>
      <c r="J108">
        <f>IFERROR(VLOOKUP(C108, Merchants!$A$2:$D$41, 3, FALSE), "Merchant not found")</f>
        <v/>
      </c>
      <c r="K108">
        <f>IFERROR(VLOOKUP(C108, Merchants!$A$2:$D$41, 4, FALSE), "Merchant not found")</f>
        <v/>
      </c>
      <c r="L108">
        <f>HLOOKUP(F108, Fee_Tiers!$B$1:$E$2, 2, FALSE)</f>
        <v/>
      </c>
      <c r="M108">
        <f>IF(AND(E108&gt;5000, K108&lt;&gt;"&gt;East"), "High-Value Merchant Day", "Standard")</f>
        <v/>
      </c>
    </row>
    <row r="109">
      <c r="A109" t="inlineStr">
        <is>
          <t>TXN100107</t>
        </is>
      </c>
      <c r="B109" t="n">
        <v>138</v>
      </c>
      <c r="C109" t="n">
        <v>37</v>
      </c>
      <c r="D109" t="inlineStr">
        <is>
          <t>2026-01-01 21:52:00</t>
        </is>
      </c>
      <c r="E109" t="n">
        <v>499</v>
      </c>
      <c r="F109" t="inlineStr">
        <is>
          <t>UPI</t>
        </is>
      </c>
      <c r="G109" t="inlineStr">
        <is>
          <t>captured</t>
        </is>
      </c>
      <c r="H109" t="n">
        <v>5</v>
      </c>
      <c r="I109">
        <f>IFERROR(VLOOKUP(C109, Merchants!$A$2:$D$41, 2, FALSE), "Merchant not found")</f>
        <v/>
      </c>
      <c r="J109">
        <f>IFERROR(VLOOKUP(C109, Merchants!$A$2:$D$41, 3, FALSE), "Merchant not found")</f>
        <v/>
      </c>
      <c r="K109">
        <f>IFERROR(VLOOKUP(C109, Merchants!$A$2:$D$41, 4, FALSE), "Merchant not found")</f>
        <v/>
      </c>
      <c r="L109">
        <f>HLOOKUP(F109, Fee_Tiers!$B$1:$E$2, 2, FALSE)</f>
        <v/>
      </c>
      <c r="M109">
        <f>IF(AND(E109&gt;5000, K109&lt;&gt;"&gt;East"), "High-Value Merchant Day", "Standard")</f>
        <v/>
      </c>
    </row>
    <row r="110">
      <c r="A110" t="inlineStr">
        <is>
          <t>TXN100108</t>
        </is>
      </c>
      <c r="B110" t="n">
        <v>266</v>
      </c>
      <c r="C110" t="n">
        <v>29</v>
      </c>
      <c r="D110" t="inlineStr">
        <is>
          <t>2026-01-25 05:30:00</t>
        </is>
      </c>
      <c r="E110" t="n">
        <v>499</v>
      </c>
      <c r="F110" t="inlineStr">
        <is>
          <t>Wallet</t>
        </is>
      </c>
      <c r="G110" t="inlineStr">
        <is>
          <t>failed</t>
        </is>
      </c>
      <c r="H110" t="n">
        <v>35</v>
      </c>
      <c r="I110">
        <f>IFERROR(VLOOKUP(C110, Merchants!$A$2:$D$41, 2, FALSE), "Merchant not found")</f>
        <v/>
      </c>
      <c r="J110">
        <f>IFERROR(VLOOKUP(C110, Merchants!$A$2:$D$41, 3, FALSE), "Merchant not found")</f>
        <v/>
      </c>
      <c r="K110">
        <f>IFERROR(VLOOKUP(C110, Merchants!$A$2:$D$41, 4, FALSE), "Merchant not found")</f>
        <v/>
      </c>
      <c r="L110">
        <f>HLOOKUP(F110, Fee_Tiers!$B$1:$E$2, 2, FALSE)</f>
        <v/>
      </c>
      <c r="M110">
        <f>IF(AND(E110&gt;5000, K110&lt;&gt;"&gt;East"), "High-Value Merchant Day", "Standard")</f>
        <v/>
      </c>
    </row>
    <row r="111">
      <c r="A111" t="inlineStr">
        <is>
          <t>TXN100109</t>
        </is>
      </c>
      <c r="B111" t="n">
        <v>326</v>
      </c>
      <c r="C111" t="n">
        <v>32</v>
      </c>
      <c r="D111" t="inlineStr">
        <is>
          <t>2026-01-06 18:27:00</t>
        </is>
      </c>
      <c r="E111" t="n">
        <v>149</v>
      </c>
      <c r="F111" t="inlineStr">
        <is>
          <t>UPI</t>
        </is>
      </c>
      <c r="G111" t="inlineStr">
        <is>
          <t>captured</t>
        </is>
      </c>
      <c r="H111" t="n">
        <v>11</v>
      </c>
      <c r="I111">
        <f>IFERROR(VLOOKUP(C111, Merchants!$A$2:$D$41, 2, FALSE), "Merchant not found")</f>
        <v/>
      </c>
      <c r="J111">
        <f>IFERROR(VLOOKUP(C111, Merchants!$A$2:$D$41, 3, FALSE), "Merchant not found")</f>
        <v/>
      </c>
      <c r="K111">
        <f>IFERROR(VLOOKUP(C111, Merchants!$A$2:$D$41, 4, FALSE), "Merchant not found")</f>
        <v/>
      </c>
      <c r="L111">
        <f>HLOOKUP(F111, Fee_Tiers!$B$1:$E$2, 2, FALSE)</f>
        <v/>
      </c>
      <c r="M111">
        <f>IF(AND(E111&gt;5000, K111&lt;&gt;"&gt;East"), "High-Value Merchant Day", "Standard")</f>
        <v/>
      </c>
    </row>
    <row r="112">
      <c r="A112" t="inlineStr">
        <is>
          <t>TXN100110</t>
        </is>
      </c>
      <c r="B112" t="n">
        <v>171</v>
      </c>
      <c r="C112" t="n">
        <v>21</v>
      </c>
      <c r="D112" t="inlineStr">
        <is>
          <t>2026-01-16 11:26:00</t>
        </is>
      </c>
      <c r="E112" t="n">
        <v>799</v>
      </c>
      <c r="F112" t="inlineStr">
        <is>
          <t>UPI</t>
        </is>
      </c>
      <c r="G112" t="inlineStr">
        <is>
          <t>captured</t>
        </is>
      </c>
      <c r="H112" t="n">
        <v>85</v>
      </c>
      <c r="I112">
        <f>IFERROR(VLOOKUP(C112, Merchants!$A$2:$D$41, 2, FALSE), "Merchant not found")</f>
        <v/>
      </c>
      <c r="J112">
        <f>IFERROR(VLOOKUP(C112, Merchants!$A$2:$D$41, 3, FALSE), "Merchant not found")</f>
        <v/>
      </c>
      <c r="K112">
        <f>IFERROR(VLOOKUP(C112, Merchants!$A$2:$D$41, 4, FALSE), "Merchant not found")</f>
        <v/>
      </c>
      <c r="L112">
        <f>HLOOKUP(F112, Fee_Tiers!$B$1:$E$2, 2, FALSE)</f>
        <v/>
      </c>
      <c r="M112">
        <f>IF(AND(E112&gt;5000, K112&lt;&gt;"&gt;East"), "High-Value Merchant Day", "Standard")</f>
        <v/>
      </c>
    </row>
    <row r="113">
      <c r="A113" t="inlineStr">
        <is>
          <t>TXN100111</t>
        </is>
      </c>
      <c r="B113" t="n">
        <v>211</v>
      </c>
      <c r="C113" t="n">
        <v>32</v>
      </c>
      <c r="D113" t="inlineStr">
        <is>
          <t>2026-01-04 05:21:00</t>
        </is>
      </c>
      <c r="E113" t="n">
        <v>49</v>
      </c>
      <c r="F113" t="inlineStr">
        <is>
          <t>UPI</t>
        </is>
      </c>
      <c r="G113" t="inlineStr">
        <is>
          <t>captured</t>
        </is>
      </c>
      <c r="H113" t="n">
        <v>36</v>
      </c>
      <c r="I113">
        <f>IFERROR(VLOOKUP(C113, Merchants!$A$2:$D$41, 2, FALSE), "Merchant not found")</f>
        <v/>
      </c>
      <c r="J113">
        <f>IFERROR(VLOOKUP(C113, Merchants!$A$2:$D$41, 3, FALSE), "Merchant not found")</f>
        <v/>
      </c>
      <c r="K113">
        <f>IFERROR(VLOOKUP(C113, Merchants!$A$2:$D$41, 4, FALSE), "Merchant not found")</f>
        <v/>
      </c>
      <c r="L113">
        <f>HLOOKUP(F113, Fee_Tiers!$B$1:$E$2, 2, FALSE)</f>
        <v/>
      </c>
      <c r="M113">
        <f>IF(AND(E113&gt;5000, K113&lt;&gt;"&gt;East"), "High-Value Merchant Day", "Standard")</f>
        <v/>
      </c>
    </row>
    <row r="114">
      <c r="A114" t="inlineStr">
        <is>
          <t>TXN100112</t>
        </is>
      </c>
      <c r="B114" t="n">
        <v>282</v>
      </c>
      <c r="C114" t="n">
        <v>3</v>
      </c>
      <c r="D114" t="inlineStr">
        <is>
          <t>2026-01-22 12:52:00</t>
        </is>
      </c>
      <c r="E114" t="n">
        <v>499</v>
      </c>
      <c r="F114" t="inlineStr">
        <is>
          <t>UPI</t>
        </is>
      </c>
      <c r="G114" t="inlineStr">
        <is>
          <t>captured</t>
        </is>
      </c>
      <c r="H114" t="n">
        <v>58</v>
      </c>
      <c r="I114">
        <f>IFERROR(VLOOKUP(C114, Merchants!$A$2:$D$41, 2, FALSE), "Merchant not found")</f>
        <v/>
      </c>
      <c r="J114">
        <f>IFERROR(VLOOKUP(C114, Merchants!$A$2:$D$41, 3, FALSE), "Merchant not found")</f>
        <v/>
      </c>
      <c r="K114">
        <f>IFERROR(VLOOKUP(C114, Merchants!$A$2:$D$41, 4, FALSE), "Merchant not found")</f>
        <v/>
      </c>
      <c r="L114">
        <f>HLOOKUP(F114, Fee_Tiers!$B$1:$E$2, 2, FALSE)</f>
        <v/>
      </c>
      <c r="M114">
        <f>IF(AND(E114&gt;5000, K114&lt;&gt;"&gt;East"), "High-Value Merchant Day", "Standard")</f>
        <v/>
      </c>
    </row>
    <row r="115">
      <c r="A115" t="inlineStr">
        <is>
          <t>TXN100113</t>
        </is>
      </c>
      <c r="B115" t="n">
        <v>166</v>
      </c>
      <c r="C115" t="n">
        <v>8</v>
      </c>
      <c r="D115" t="inlineStr">
        <is>
          <t>2026-01-03 10:16:00</t>
        </is>
      </c>
      <c r="E115" t="n">
        <v>299</v>
      </c>
      <c r="F115" t="inlineStr">
        <is>
          <t>UPI</t>
        </is>
      </c>
      <c r="G115" t="inlineStr">
        <is>
          <t>captured</t>
        </is>
      </c>
      <c r="H115" t="n">
        <v>98</v>
      </c>
      <c r="I115">
        <f>IFERROR(VLOOKUP(C115, Merchants!$A$2:$D$41, 2, FALSE), "Merchant not found")</f>
        <v/>
      </c>
      <c r="J115">
        <f>IFERROR(VLOOKUP(C115, Merchants!$A$2:$D$41, 3, FALSE), "Merchant not found")</f>
        <v/>
      </c>
      <c r="K115">
        <f>IFERROR(VLOOKUP(C115, Merchants!$A$2:$D$41, 4, FALSE), "Merchant not found")</f>
        <v/>
      </c>
      <c r="L115">
        <f>HLOOKUP(F115, Fee_Tiers!$B$1:$E$2, 2, FALSE)</f>
        <v/>
      </c>
      <c r="M115">
        <f>IF(AND(E115&gt;5000, K115&lt;&gt;"&gt;East"), "High-Value Merchant Day", "Standard")</f>
        <v/>
      </c>
    </row>
    <row r="116">
      <c r="A116" t="inlineStr">
        <is>
          <t>TXN100114</t>
        </is>
      </c>
      <c r="B116" t="n">
        <v>1</v>
      </c>
      <c r="C116" t="n">
        <v>35</v>
      </c>
      <c r="D116" t="inlineStr">
        <is>
          <t>2026-01-13 16:52:00</t>
        </is>
      </c>
      <c r="E116" t="n">
        <v>149</v>
      </c>
      <c r="F116" t="inlineStr">
        <is>
          <t>UPI</t>
        </is>
      </c>
      <c r="G116" t="inlineStr">
        <is>
          <t>captured</t>
        </is>
      </c>
      <c r="H116" t="n">
        <v>59</v>
      </c>
      <c r="I116">
        <f>IFERROR(VLOOKUP(C116, Merchants!$A$2:$D$41, 2, FALSE), "Merchant not found")</f>
        <v/>
      </c>
      <c r="J116">
        <f>IFERROR(VLOOKUP(C116, Merchants!$A$2:$D$41, 3, FALSE), "Merchant not found")</f>
        <v/>
      </c>
      <c r="K116">
        <f>IFERROR(VLOOKUP(C116, Merchants!$A$2:$D$41, 4, FALSE), "Merchant not found")</f>
        <v/>
      </c>
      <c r="L116">
        <f>HLOOKUP(F116, Fee_Tiers!$B$1:$E$2, 2, FALSE)</f>
        <v/>
      </c>
      <c r="M116">
        <f>IF(AND(E116&gt;5000, K116&lt;&gt;"&gt;East"), "High-Value Merchant Day", "Standard")</f>
        <v/>
      </c>
    </row>
    <row r="117">
      <c r="A117" t="inlineStr">
        <is>
          <t>TXN100115</t>
        </is>
      </c>
      <c r="B117" t="n">
        <v>266</v>
      </c>
      <c r="C117" t="n">
        <v>24</v>
      </c>
      <c r="D117" t="inlineStr">
        <is>
          <t>2026-01-14 01:12:00</t>
        </is>
      </c>
      <c r="E117" t="n">
        <v>499</v>
      </c>
      <c r="F117" t="inlineStr">
        <is>
          <t>UPI</t>
        </is>
      </c>
      <c r="G117" t="inlineStr">
        <is>
          <t>captured</t>
        </is>
      </c>
      <c r="H117" t="n">
        <v>79</v>
      </c>
      <c r="I117">
        <f>IFERROR(VLOOKUP(C117, Merchants!$A$2:$D$41, 2, FALSE), "Merchant not found")</f>
        <v/>
      </c>
      <c r="J117">
        <f>IFERROR(VLOOKUP(C117, Merchants!$A$2:$D$41, 3, FALSE), "Merchant not found")</f>
        <v/>
      </c>
      <c r="K117">
        <f>IFERROR(VLOOKUP(C117, Merchants!$A$2:$D$41, 4, FALSE), "Merchant not found")</f>
        <v/>
      </c>
      <c r="L117">
        <f>HLOOKUP(F117, Fee_Tiers!$B$1:$E$2, 2, FALSE)</f>
        <v/>
      </c>
      <c r="M117">
        <f>IF(AND(E117&gt;5000, K117&lt;&gt;"&gt;East"), "High-Value Merchant Day", "Standard")</f>
        <v/>
      </c>
    </row>
    <row r="118">
      <c r="A118" t="inlineStr">
        <is>
          <t>TXN100116</t>
        </is>
      </c>
      <c r="B118" t="n">
        <v>227</v>
      </c>
      <c r="C118" t="n">
        <v>4</v>
      </c>
      <c r="D118" t="inlineStr">
        <is>
          <t>2026-01-25 15:40:00</t>
        </is>
      </c>
      <c r="E118" t="n">
        <v>499</v>
      </c>
      <c r="F118" t="inlineStr">
        <is>
          <t>UPI</t>
        </is>
      </c>
      <c r="G118" t="inlineStr">
        <is>
          <t>captured</t>
        </is>
      </c>
      <c r="H118" t="n">
        <v>26</v>
      </c>
      <c r="I118">
        <f>IFERROR(VLOOKUP(C118, Merchants!$A$2:$D$41, 2, FALSE), "Merchant not found")</f>
        <v/>
      </c>
      <c r="J118">
        <f>IFERROR(VLOOKUP(C118, Merchants!$A$2:$D$41, 3, FALSE), "Merchant not found")</f>
        <v/>
      </c>
      <c r="K118">
        <f>IFERROR(VLOOKUP(C118, Merchants!$A$2:$D$41, 4, FALSE), "Merchant not found")</f>
        <v/>
      </c>
      <c r="L118">
        <f>HLOOKUP(F118, Fee_Tiers!$B$1:$E$2, 2, FALSE)</f>
        <v/>
      </c>
      <c r="M118">
        <f>IF(AND(E118&gt;5000, K118&lt;&gt;"&gt;East"), "High-Value Merchant Day", "Standard")</f>
        <v/>
      </c>
    </row>
    <row r="119">
      <c r="A119" t="inlineStr">
        <is>
          <t>TXN100117</t>
        </is>
      </c>
      <c r="B119" t="n">
        <v>148</v>
      </c>
      <c r="C119" t="n">
        <v>29</v>
      </c>
      <c r="D119" t="inlineStr">
        <is>
          <t>2026-01-09 17:08:00</t>
        </is>
      </c>
      <c r="E119" t="n">
        <v>499</v>
      </c>
      <c r="F119" t="inlineStr">
        <is>
          <t>UPI</t>
        </is>
      </c>
      <c r="G119" t="inlineStr">
        <is>
          <t>captured</t>
        </is>
      </c>
      <c r="H119" t="n">
        <v>89</v>
      </c>
      <c r="I119">
        <f>IFERROR(VLOOKUP(C119, Merchants!$A$2:$D$41, 2, FALSE), "Merchant not found")</f>
        <v/>
      </c>
      <c r="J119">
        <f>IFERROR(VLOOKUP(C119, Merchants!$A$2:$D$41, 3, FALSE), "Merchant not found")</f>
        <v/>
      </c>
      <c r="K119">
        <f>IFERROR(VLOOKUP(C119, Merchants!$A$2:$D$41, 4, FALSE), "Merchant not found")</f>
        <v/>
      </c>
      <c r="L119">
        <f>HLOOKUP(F119, Fee_Tiers!$B$1:$E$2, 2, FALSE)</f>
        <v/>
      </c>
      <c r="M119">
        <f>IF(AND(E119&gt;5000, K119&lt;&gt;"&gt;East"), "High-Value Merchant Day", "Standard")</f>
        <v/>
      </c>
    </row>
    <row r="120">
      <c r="A120" t="inlineStr">
        <is>
          <t>TXN100118</t>
        </is>
      </c>
      <c r="B120" t="n">
        <v>323</v>
      </c>
      <c r="C120" t="n">
        <v>39</v>
      </c>
      <c r="D120" t="inlineStr">
        <is>
          <t>2026-01-16 03:01:00</t>
        </is>
      </c>
      <c r="E120" t="n">
        <v>499</v>
      </c>
      <c r="F120" t="inlineStr">
        <is>
          <t>UPI</t>
        </is>
      </c>
      <c r="G120" t="inlineStr">
        <is>
          <t>captured</t>
        </is>
      </c>
      <c r="H120" t="n">
        <v>30</v>
      </c>
      <c r="I120">
        <f>IFERROR(VLOOKUP(C120, Merchants!$A$2:$D$41, 2, FALSE), "Merchant not found")</f>
        <v/>
      </c>
      <c r="J120">
        <f>IFERROR(VLOOKUP(C120, Merchants!$A$2:$D$41, 3, FALSE), "Merchant not found")</f>
        <v/>
      </c>
      <c r="K120">
        <f>IFERROR(VLOOKUP(C120, Merchants!$A$2:$D$41, 4, FALSE), "Merchant not found")</f>
        <v/>
      </c>
      <c r="L120">
        <f>HLOOKUP(F120, Fee_Tiers!$B$1:$E$2, 2, FALSE)</f>
        <v/>
      </c>
      <c r="M120">
        <f>IF(AND(E120&gt;5000, K120&lt;&gt;"&gt;East"), "High-Value Merchant Day", "Standard")</f>
        <v/>
      </c>
    </row>
    <row r="121">
      <c r="A121" t="inlineStr">
        <is>
          <t>TXN100119</t>
        </is>
      </c>
      <c r="B121" t="n">
        <v>283</v>
      </c>
      <c r="C121" t="n">
        <v>1</v>
      </c>
      <c r="D121" t="inlineStr">
        <is>
          <t>2026-01-23 05:19:00</t>
        </is>
      </c>
      <c r="E121" t="n">
        <v>2999</v>
      </c>
      <c r="F121" t="inlineStr">
        <is>
          <t>Wallet</t>
        </is>
      </c>
      <c r="G121" t="inlineStr">
        <is>
          <t>captured</t>
        </is>
      </c>
      <c r="H121" t="n">
        <v>70</v>
      </c>
      <c r="I121">
        <f>IFERROR(VLOOKUP(C121, Merchants!$A$2:$D$41, 2, FALSE), "Merchant not found")</f>
        <v/>
      </c>
      <c r="J121">
        <f>IFERROR(VLOOKUP(C121, Merchants!$A$2:$D$41, 3, FALSE), "Merchant not found")</f>
        <v/>
      </c>
      <c r="K121">
        <f>IFERROR(VLOOKUP(C121, Merchants!$A$2:$D$41, 4, FALSE), "Merchant not found")</f>
        <v/>
      </c>
      <c r="L121">
        <f>HLOOKUP(F121, Fee_Tiers!$B$1:$E$2, 2, FALSE)</f>
        <v/>
      </c>
      <c r="M121">
        <f>IF(AND(E121&gt;5000, K121&lt;&gt;"&gt;East"), "High-Value Merchant Day", "Standard")</f>
        <v/>
      </c>
    </row>
    <row r="122">
      <c r="A122" t="inlineStr">
        <is>
          <t>TXN100120</t>
        </is>
      </c>
      <c r="B122" t="n">
        <v>59</v>
      </c>
      <c r="C122" t="n">
        <v>30</v>
      </c>
      <c r="D122" t="inlineStr">
        <is>
          <t>2026-01-14 02:14:00</t>
        </is>
      </c>
      <c r="E122" t="n">
        <v>499</v>
      </c>
      <c r="F122" t="inlineStr">
        <is>
          <t>UPI</t>
        </is>
      </c>
      <c r="G122" t="inlineStr">
        <is>
          <t>captured</t>
        </is>
      </c>
      <c r="H122" t="n">
        <v>15</v>
      </c>
      <c r="I122">
        <f>IFERROR(VLOOKUP(C122, Merchants!$A$2:$D$41, 2, FALSE), "Merchant not found")</f>
        <v/>
      </c>
      <c r="J122">
        <f>IFERROR(VLOOKUP(C122, Merchants!$A$2:$D$41, 3, FALSE), "Merchant not found")</f>
        <v/>
      </c>
      <c r="K122">
        <f>IFERROR(VLOOKUP(C122, Merchants!$A$2:$D$41, 4, FALSE), "Merchant not found")</f>
        <v/>
      </c>
      <c r="L122">
        <f>HLOOKUP(F122, Fee_Tiers!$B$1:$E$2, 2, FALSE)</f>
        <v/>
      </c>
      <c r="M122">
        <f>IF(AND(E122&gt;5000, K122&lt;&gt;"&gt;East"), "High-Value Merchant Day", "Standard")</f>
        <v/>
      </c>
    </row>
    <row r="123">
      <c r="A123" t="inlineStr">
        <is>
          <t>TXN100121</t>
        </is>
      </c>
      <c r="B123" t="n">
        <v>150</v>
      </c>
      <c r="C123" t="n">
        <v>33</v>
      </c>
      <c r="D123" t="inlineStr">
        <is>
          <t>2026-01-21 04:31:00</t>
        </is>
      </c>
      <c r="E123" t="n">
        <v>2999</v>
      </c>
      <c r="F123" t="inlineStr">
        <is>
          <t>UPI</t>
        </is>
      </c>
      <c r="G123" t="inlineStr">
        <is>
          <t>captured</t>
        </is>
      </c>
      <c r="H123" t="n">
        <v>90</v>
      </c>
      <c r="I123">
        <f>IFERROR(VLOOKUP(C123, Merchants!$A$2:$D$41, 2, FALSE), "Merchant not found")</f>
        <v/>
      </c>
      <c r="J123">
        <f>IFERROR(VLOOKUP(C123, Merchants!$A$2:$D$41, 3, FALSE), "Merchant not found")</f>
        <v/>
      </c>
      <c r="K123">
        <f>IFERROR(VLOOKUP(C123, Merchants!$A$2:$D$41, 4, FALSE), "Merchant not found")</f>
        <v/>
      </c>
      <c r="L123">
        <f>HLOOKUP(F123, Fee_Tiers!$B$1:$E$2, 2, FALSE)</f>
        <v/>
      </c>
      <c r="M123">
        <f>IF(AND(E123&gt;5000, K123&lt;&gt;"&gt;East"), "High-Value Merchant Day", "Standard")</f>
        <v/>
      </c>
    </row>
    <row r="124">
      <c r="A124" t="inlineStr">
        <is>
          <t>TXN100122</t>
        </is>
      </c>
      <c r="B124" t="n">
        <v>248</v>
      </c>
      <c r="C124" t="n">
        <v>31</v>
      </c>
      <c r="D124" t="inlineStr">
        <is>
          <t>2026-01-09 13:53:00</t>
        </is>
      </c>
      <c r="E124" t="n">
        <v>1499</v>
      </c>
      <c r="F124" t="inlineStr">
        <is>
          <t>UPI</t>
        </is>
      </c>
      <c r="G124" t="inlineStr">
        <is>
          <t>failed</t>
        </is>
      </c>
      <c r="H124" t="n">
        <v>31</v>
      </c>
      <c r="I124">
        <f>IFERROR(VLOOKUP(C124, Merchants!$A$2:$D$41, 2, FALSE), "Merchant not found")</f>
        <v/>
      </c>
      <c r="J124">
        <f>IFERROR(VLOOKUP(C124, Merchants!$A$2:$D$41, 3, FALSE), "Merchant not found")</f>
        <v/>
      </c>
      <c r="K124">
        <f>IFERROR(VLOOKUP(C124, Merchants!$A$2:$D$41, 4, FALSE), "Merchant not found")</f>
        <v/>
      </c>
      <c r="L124">
        <f>HLOOKUP(F124, Fee_Tiers!$B$1:$E$2, 2, FALSE)</f>
        <v/>
      </c>
      <c r="M124">
        <f>IF(AND(E124&gt;5000, K124&lt;&gt;"&gt;East"), "High-Value Merchant Day", "Standard")</f>
        <v/>
      </c>
    </row>
    <row r="125">
      <c r="A125" t="inlineStr">
        <is>
          <t>TXN100123</t>
        </is>
      </c>
      <c r="B125" t="n">
        <v>197</v>
      </c>
      <c r="C125" t="n">
        <v>13</v>
      </c>
      <c r="D125" t="inlineStr">
        <is>
          <t>2026-01-15 17:09:00</t>
        </is>
      </c>
      <c r="E125" t="n">
        <v>49</v>
      </c>
      <c r="F125" t="inlineStr">
        <is>
          <t>UPI</t>
        </is>
      </c>
      <c r="G125" t="inlineStr">
        <is>
          <t>captured</t>
        </is>
      </c>
      <c r="H125" t="n">
        <v>76</v>
      </c>
      <c r="I125">
        <f>IFERROR(VLOOKUP(C125, Merchants!$A$2:$D$41, 2, FALSE), "Merchant not found")</f>
        <v/>
      </c>
      <c r="J125">
        <f>IFERROR(VLOOKUP(C125, Merchants!$A$2:$D$41, 3, FALSE), "Merchant not found")</f>
        <v/>
      </c>
      <c r="K125">
        <f>IFERROR(VLOOKUP(C125, Merchants!$A$2:$D$41, 4, FALSE), "Merchant not found")</f>
        <v/>
      </c>
      <c r="L125">
        <f>HLOOKUP(F125, Fee_Tiers!$B$1:$E$2, 2, FALSE)</f>
        <v/>
      </c>
      <c r="M125">
        <f>IF(AND(E125&gt;5000, K125&lt;&gt;"&gt;East"), "High-Value Merchant Day", "Standard")</f>
        <v/>
      </c>
    </row>
    <row r="126">
      <c r="A126" t="inlineStr">
        <is>
          <t>TXN100124</t>
        </is>
      </c>
      <c r="B126" t="n">
        <v>70</v>
      </c>
      <c r="C126" t="n">
        <v>5</v>
      </c>
      <c r="D126" t="inlineStr">
        <is>
          <t>2026-01-17 23:56:00</t>
        </is>
      </c>
      <c r="E126" t="n">
        <v>499</v>
      </c>
      <c r="F126" t="inlineStr">
        <is>
          <t>UPI</t>
        </is>
      </c>
      <c r="G126" t="inlineStr">
        <is>
          <t>captured</t>
        </is>
      </c>
      <c r="H126" t="n">
        <v>35</v>
      </c>
      <c r="I126">
        <f>IFERROR(VLOOKUP(C126, Merchants!$A$2:$D$41, 2, FALSE), "Merchant not found")</f>
        <v/>
      </c>
      <c r="J126">
        <f>IFERROR(VLOOKUP(C126, Merchants!$A$2:$D$41, 3, FALSE), "Merchant not found")</f>
        <v/>
      </c>
      <c r="K126">
        <f>IFERROR(VLOOKUP(C126, Merchants!$A$2:$D$41, 4, FALSE), "Merchant not found")</f>
        <v/>
      </c>
      <c r="L126">
        <f>HLOOKUP(F126, Fee_Tiers!$B$1:$E$2, 2, FALSE)</f>
        <v/>
      </c>
      <c r="M126">
        <f>IF(AND(E126&gt;5000, K126&lt;&gt;"&gt;East"), "High-Value Merchant Day", "Standard")</f>
        <v/>
      </c>
    </row>
    <row r="127">
      <c r="A127" t="inlineStr">
        <is>
          <t>TXN100125</t>
        </is>
      </c>
      <c r="B127" t="n">
        <v>260</v>
      </c>
      <c r="C127" t="n">
        <v>18</v>
      </c>
      <c r="D127" t="inlineStr">
        <is>
          <t>2026-01-25 13:21:00</t>
        </is>
      </c>
      <c r="E127" t="n">
        <v>1499</v>
      </c>
      <c r="F127" t="inlineStr">
        <is>
          <t>UPI</t>
        </is>
      </c>
      <c r="G127" t="inlineStr">
        <is>
          <t>captured</t>
        </is>
      </c>
      <c r="H127" t="n">
        <v>0</v>
      </c>
      <c r="I127">
        <f>IFERROR(VLOOKUP(C127, Merchants!$A$2:$D$41, 2, FALSE), "Merchant not found")</f>
        <v/>
      </c>
      <c r="J127">
        <f>IFERROR(VLOOKUP(C127, Merchants!$A$2:$D$41, 3, FALSE), "Merchant not found")</f>
        <v/>
      </c>
      <c r="K127">
        <f>IFERROR(VLOOKUP(C127, Merchants!$A$2:$D$41, 4, FALSE), "Merchant not found")</f>
        <v/>
      </c>
      <c r="L127">
        <f>HLOOKUP(F127, Fee_Tiers!$B$1:$E$2, 2, FALSE)</f>
        <v/>
      </c>
      <c r="M127">
        <f>IF(AND(E127&gt;5000, K127&lt;&gt;"&gt;East"), "High-Value Merchant Day", "Standard")</f>
        <v/>
      </c>
    </row>
    <row r="128">
      <c r="A128" t="inlineStr">
        <is>
          <t>TXN100126</t>
        </is>
      </c>
      <c r="B128" t="n">
        <v>301</v>
      </c>
      <c r="C128" t="n">
        <v>38</v>
      </c>
      <c r="D128" t="inlineStr">
        <is>
          <t>2026-01-10 23:19:00</t>
        </is>
      </c>
      <c r="E128" t="n">
        <v>99</v>
      </c>
      <c r="F128" t="inlineStr">
        <is>
          <t>UPI</t>
        </is>
      </c>
      <c r="G128" t="inlineStr">
        <is>
          <t>captured</t>
        </is>
      </c>
      <c r="H128" t="n">
        <v>84</v>
      </c>
      <c r="I128">
        <f>IFERROR(VLOOKUP(C128, Merchants!$A$2:$D$41, 2, FALSE), "Merchant not found")</f>
        <v/>
      </c>
      <c r="J128">
        <f>IFERROR(VLOOKUP(C128, Merchants!$A$2:$D$41, 3, FALSE), "Merchant not found")</f>
        <v/>
      </c>
      <c r="K128">
        <f>IFERROR(VLOOKUP(C128, Merchants!$A$2:$D$41, 4, FALSE), "Merchant not found")</f>
        <v/>
      </c>
      <c r="L128">
        <f>HLOOKUP(F128, Fee_Tiers!$B$1:$E$2, 2, FALSE)</f>
        <v/>
      </c>
      <c r="M128">
        <f>IF(AND(E128&gt;5000, K128&lt;&gt;"&gt;East"), "High-Value Merchant Day", "Standard")</f>
        <v/>
      </c>
    </row>
    <row r="129">
      <c r="A129" t="inlineStr">
        <is>
          <t>TXN100127</t>
        </is>
      </c>
      <c r="B129" t="n">
        <v>276</v>
      </c>
      <c r="C129" t="n">
        <v>31</v>
      </c>
      <c r="D129" t="inlineStr">
        <is>
          <t>2026-01-16 04:28:00</t>
        </is>
      </c>
      <c r="E129" t="n">
        <v>499</v>
      </c>
      <c r="F129" t="inlineStr">
        <is>
          <t>Card</t>
        </is>
      </c>
      <c r="G129" t="inlineStr">
        <is>
          <t>captured</t>
        </is>
      </c>
      <c r="H129" t="n">
        <v>44</v>
      </c>
      <c r="I129">
        <f>IFERROR(VLOOKUP(C129, Merchants!$A$2:$D$41, 2, FALSE), "Merchant not found")</f>
        <v/>
      </c>
      <c r="J129">
        <f>IFERROR(VLOOKUP(C129, Merchants!$A$2:$D$41, 3, FALSE), "Merchant not found")</f>
        <v/>
      </c>
      <c r="K129">
        <f>IFERROR(VLOOKUP(C129, Merchants!$A$2:$D$41, 4, FALSE), "Merchant not found")</f>
        <v/>
      </c>
      <c r="L129">
        <f>HLOOKUP(F129, Fee_Tiers!$B$1:$E$2, 2, FALSE)</f>
        <v/>
      </c>
      <c r="M129">
        <f>IF(AND(E129&gt;5000, K129&lt;&gt;"&gt;East"), "High-Value Merchant Day", "Standard")</f>
        <v/>
      </c>
    </row>
    <row r="130">
      <c r="A130" t="inlineStr">
        <is>
          <t>TXN100128</t>
        </is>
      </c>
      <c r="B130" t="n">
        <v>279</v>
      </c>
      <c r="C130" t="n">
        <v>25</v>
      </c>
      <c r="D130" t="inlineStr">
        <is>
          <t>2026-01-11 17:48:00</t>
        </is>
      </c>
      <c r="E130" t="n">
        <v>799</v>
      </c>
      <c r="F130" t="inlineStr">
        <is>
          <t>UPI</t>
        </is>
      </c>
      <c r="G130" t="inlineStr">
        <is>
          <t>captured</t>
        </is>
      </c>
      <c r="H130" t="n">
        <v>58</v>
      </c>
      <c r="I130">
        <f>IFERROR(VLOOKUP(C130, Merchants!$A$2:$D$41, 2, FALSE), "Merchant not found")</f>
        <v/>
      </c>
      <c r="J130">
        <f>IFERROR(VLOOKUP(C130, Merchants!$A$2:$D$41, 3, FALSE), "Merchant not found")</f>
        <v/>
      </c>
      <c r="K130">
        <f>IFERROR(VLOOKUP(C130, Merchants!$A$2:$D$41, 4, FALSE), "Merchant not found")</f>
        <v/>
      </c>
      <c r="L130">
        <f>HLOOKUP(F130, Fee_Tiers!$B$1:$E$2, 2, FALSE)</f>
        <v/>
      </c>
      <c r="M130">
        <f>IF(AND(E130&gt;5000, K130&lt;&gt;"&gt;East"), "High-Value Merchant Day", "Standard")</f>
        <v/>
      </c>
    </row>
    <row r="131">
      <c r="A131" t="inlineStr">
        <is>
          <t>TXN100129</t>
        </is>
      </c>
      <c r="B131" t="n">
        <v>97</v>
      </c>
      <c r="C131" t="n">
        <v>16</v>
      </c>
      <c r="D131" t="inlineStr">
        <is>
          <t>2026-01-30 10:55:00</t>
        </is>
      </c>
      <c r="E131" t="n">
        <v>799</v>
      </c>
      <c r="F131" t="inlineStr">
        <is>
          <t>Card</t>
        </is>
      </c>
      <c r="G131" t="inlineStr">
        <is>
          <t>captured</t>
        </is>
      </c>
      <c r="H131" t="n">
        <v>73</v>
      </c>
      <c r="I131">
        <f>IFERROR(VLOOKUP(C131, Merchants!$A$2:$D$41, 2, FALSE), "Merchant not found")</f>
        <v/>
      </c>
      <c r="J131">
        <f>IFERROR(VLOOKUP(C131, Merchants!$A$2:$D$41, 3, FALSE), "Merchant not found")</f>
        <v/>
      </c>
      <c r="K131">
        <f>IFERROR(VLOOKUP(C131, Merchants!$A$2:$D$41, 4, FALSE), "Merchant not found")</f>
        <v/>
      </c>
      <c r="L131">
        <f>HLOOKUP(F131, Fee_Tiers!$B$1:$E$2, 2, FALSE)</f>
        <v/>
      </c>
      <c r="M131">
        <f>IF(AND(E131&gt;5000, K131&lt;&gt;"&gt;East"), "High-Value Merchant Day", "Standard")</f>
        <v/>
      </c>
    </row>
    <row r="132">
      <c r="A132" t="inlineStr">
        <is>
          <t>TXN100130</t>
        </is>
      </c>
      <c r="B132" t="n">
        <v>211</v>
      </c>
      <c r="C132" t="n">
        <v>3</v>
      </c>
      <c r="D132" t="inlineStr">
        <is>
          <t>2026-01-13 07:54:00</t>
        </is>
      </c>
      <c r="E132" t="n">
        <v>149</v>
      </c>
      <c r="F132" t="inlineStr">
        <is>
          <t>UPI</t>
        </is>
      </c>
      <c r="G132" t="inlineStr">
        <is>
          <t>chargeback</t>
        </is>
      </c>
      <c r="H132" t="n">
        <v>40</v>
      </c>
      <c r="I132">
        <f>IFERROR(VLOOKUP(C132, Merchants!$A$2:$D$41, 2, FALSE), "Merchant not found")</f>
        <v/>
      </c>
      <c r="J132">
        <f>IFERROR(VLOOKUP(C132, Merchants!$A$2:$D$41, 3, FALSE), "Merchant not found")</f>
        <v/>
      </c>
      <c r="K132">
        <f>IFERROR(VLOOKUP(C132, Merchants!$A$2:$D$41, 4, FALSE), "Merchant not found")</f>
        <v/>
      </c>
      <c r="L132">
        <f>HLOOKUP(F132, Fee_Tiers!$B$1:$E$2, 2, FALSE)</f>
        <v/>
      </c>
      <c r="M132">
        <f>IF(AND(E132&gt;5000, K132&lt;&gt;"&gt;East"), "High-Value Merchant Day", "Standard")</f>
        <v/>
      </c>
    </row>
    <row r="133">
      <c r="A133" t="inlineStr">
        <is>
          <t>TXN100131</t>
        </is>
      </c>
      <c r="B133" t="n">
        <v>196</v>
      </c>
      <c r="C133" t="n">
        <v>25</v>
      </c>
      <c r="D133" t="inlineStr">
        <is>
          <t>2026-01-24 15:45:00</t>
        </is>
      </c>
      <c r="E133" t="n">
        <v>149</v>
      </c>
      <c r="F133" t="inlineStr">
        <is>
          <t>Netbanking</t>
        </is>
      </c>
      <c r="G133" t="inlineStr">
        <is>
          <t>captured</t>
        </is>
      </c>
      <c r="H133" t="n">
        <v>84</v>
      </c>
      <c r="I133">
        <f>IFERROR(VLOOKUP(C133, Merchants!$A$2:$D$41, 2, FALSE), "Merchant not found")</f>
        <v/>
      </c>
      <c r="J133">
        <f>IFERROR(VLOOKUP(C133, Merchants!$A$2:$D$41, 3, FALSE), "Merchant not found")</f>
        <v/>
      </c>
      <c r="K133">
        <f>IFERROR(VLOOKUP(C133, Merchants!$A$2:$D$41, 4, FALSE), "Merchant not found")</f>
        <v/>
      </c>
      <c r="L133">
        <f>HLOOKUP(F133, Fee_Tiers!$B$1:$E$2, 2, FALSE)</f>
        <v/>
      </c>
      <c r="M133">
        <f>IF(AND(E133&gt;5000, K133&lt;&gt;"&gt;East"), "High-Value Merchant Day", "Standard")</f>
        <v/>
      </c>
    </row>
    <row r="134">
      <c r="A134" t="inlineStr">
        <is>
          <t>TXN100132</t>
        </is>
      </c>
      <c r="B134" t="n">
        <v>254</v>
      </c>
      <c r="C134" t="n">
        <v>3</v>
      </c>
      <c r="D134" t="inlineStr">
        <is>
          <t>2026-01-26 20:09:00</t>
        </is>
      </c>
      <c r="E134" t="n">
        <v>149</v>
      </c>
      <c r="F134" t="inlineStr">
        <is>
          <t>Card</t>
        </is>
      </c>
      <c r="G134" t="inlineStr">
        <is>
          <t>captured</t>
        </is>
      </c>
      <c r="H134" t="n">
        <v>16</v>
      </c>
      <c r="I134">
        <f>IFERROR(VLOOKUP(C134, Merchants!$A$2:$D$41, 2, FALSE), "Merchant not found")</f>
        <v/>
      </c>
      <c r="J134">
        <f>IFERROR(VLOOKUP(C134, Merchants!$A$2:$D$41, 3, FALSE), "Merchant not found")</f>
        <v/>
      </c>
      <c r="K134">
        <f>IFERROR(VLOOKUP(C134, Merchants!$A$2:$D$41, 4, FALSE), "Merchant not found")</f>
        <v/>
      </c>
      <c r="L134">
        <f>HLOOKUP(F134, Fee_Tiers!$B$1:$E$2, 2, FALSE)</f>
        <v/>
      </c>
      <c r="M134">
        <f>IF(AND(E134&gt;5000, K134&lt;&gt;"&gt;East"), "High-Value Merchant Day", "Standard")</f>
        <v/>
      </c>
    </row>
    <row r="135">
      <c r="A135" t="inlineStr">
        <is>
          <t>TXN100133</t>
        </is>
      </c>
      <c r="B135" t="n">
        <v>52</v>
      </c>
      <c r="C135" t="n">
        <v>29</v>
      </c>
      <c r="D135" t="inlineStr">
        <is>
          <t>2026-01-17 18:21:00</t>
        </is>
      </c>
      <c r="E135" t="n">
        <v>49</v>
      </c>
      <c r="F135" t="inlineStr">
        <is>
          <t>Netbanking</t>
        </is>
      </c>
      <c r="G135" t="inlineStr">
        <is>
          <t>captured</t>
        </is>
      </c>
      <c r="H135" t="n">
        <v>12</v>
      </c>
      <c r="I135">
        <f>IFERROR(VLOOKUP(C135, Merchants!$A$2:$D$41, 2, FALSE), "Merchant not found")</f>
        <v/>
      </c>
      <c r="J135">
        <f>IFERROR(VLOOKUP(C135, Merchants!$A$2:$D$41, 3, FALSE), "Merchant not found")</f>
        <v/>
      </c>
      <c r="K135">
        <f>IFERROR(VLOOKUP(C135, Merchants!$A$2:$D$41, 4, FALSE), "Merchant not found")</f>
        <v/>
      </c>
      <c r="L135">
        <f>HLOOKUP(F135, Fee_Tiers!$B$1:$E$2, 2, FALSE)</f>
        <v/>
      </c>
      <c r="M135">
        <f>IF(AND(E135&gt;5000, K135&lt;&gt;"&gt;East"), "High-Value Merchant Day", "Standard")</f>
        <v/>
      </c>
    </row>
    <row r="136">
      <c r="A136" t="inlineStr">
        <is>
          <t>TXN100134</t>
        </is>
      </c>
      <c r="B136" t="n">
        <v>74</v>
      </c>
      <c r="C136" t="n">
        <v>27</v>
      </c>
      <c r="D136" t="inlineStr">
        <is>
          <t>2026-01-17 14:00:00</t>
        </is>
      </c>
      <c r="E136" t="n">
        <v>799</v>
      </c>
      <c r="F136" t="inlineStr">
        <is>
          <t>UPI</t>
        </is>
      </c>
      <c r="G136" t="inlineStr">
        <is>
          <t>captured</t>
        </is>
      </c>
      <c r="H136" t="n">
        <v>83</v>
      </c>
      <c r="I136">
        <f>IFERROR(VLOOKUP(C136, Merchants!$A$2:$D$41, 2, FALSE), "Merchant not found")</f>
        <v/>
      </c>
      <c r="J136">
        <f>IFERROR(VLOOKUP(C136, Merchants!$A$2:$D$41, 3, FALSE), "Merchant not found")</f>
        <v/>
      </c>
      <c r="K136">
        <f>IFERROR(VLOOKUP(C136, Merchants!$A$2:$D$41, 4, FALSE), "Merchant not found")</f>
        <v/>
      </c>
      <c r="L136">
        <f>HLOOKUP(F136, Fee_Tiers!$B$1:$E$2, 2, FALSE)</f>
        <v/>
      </c>
      <c r="M136">
        <f>IF(AND(E136&gt;5000, K136&lt;&gt;"&gt;East"), "High-Value Merchant Day", "Standard")</f>
        <v/>
      </c>
    </row>
    <row r="137">
      <c r="A137" t="inlineStr">
        <is>
          <t>TXN100135</t>
        </is>
      </c>
      <c r="B137" t="n">
        <v>136</v>
      </c>
      <c r="C137" t="n">
        <v>22</v>
      </c>
      <c r="D137" t="inlineStr">
        <is>
          <t>2026-01-05 02:30:00</t>
        </is>
      </c>
      <c r="E137" t="n">
        <v>149</v>
      </c>
      <c r="F137" t="inlineStr">
        <is>
          <t>UPI</t>
        </is>
      </c>
      <c r="G137" t="inlineStr">
        <is>
          <t>captured</t>
        </is>
      </c>
      <c r="H137" t="n">
        <v>79</v>
      </c>
      <c r="I137">
        <f>IFERROR(VLOOKUP(C137, Merchants!$A$2:$D$41, 2, FALSE), "Merchant not found")</f>
        <v/>
      </c>
      <c r="J137">
        <f>IFERROR(VLOOKUP(C137, Merchants!$A$2:$D$41, 3, FALSE), "Merchant not found")</f>
        <v/>
      </c>
      <c r="K137">
        <f>IFERROR(VLOOKUP(C137, Merchants!$A$2:$D$41, 4, FALSE), "Merchant not found")</f>
        <v/>
      </c>
      <c r="L137">
        <f>HLOOKUP(F137, Fee_Tiers!$B$1:$E$2, 2, FALSE)</f>
        <v/>
      </c>
      <c r="M137">
        <f>IF(AND(E137&gt;5000, K137&lt;&gt;"&gt;East"), "High-Value Merchant Day", "Standard")</f>
        <v/>
      </c>
    </row>
    <row r="138">
      <c r="A138" t="inlineStr">
        <is>
          <t>TXN100136</t>
        </is>
      </c>
      <c r="B138" t="n">
        <v>42</v>
      </c>
      <c r="C138" t="n">
        <v>22</v>
      </c>
      <c r="D138" t="inlineStr">
        <is>
          <t>2026-01-23 12:41:00</t>
        </is>
      </c>
      <c r="E138" t="n">
        <v>49</v>
      </c>
      <c r="F138" t="inlineStr">
        <is>
          <t>UPI</t>
        </is>
      </c>
      <c r="G138" t="inlineStr">
        <is>
          <t>captured</t>
        </is>
      </c>
      <c r="H138" t="n">
        <v>86</v>
      </c>
      <c r="I138">
        <f>IFERROR(VLOOKUP(C138, Merchants!$A$2:$D$41, 2, FALSE), "Merchant not found")</f>
        <v/>
      </c>
      <c r="J138">
        <f>IFERROR(VLOOKUP(C138, Merchants!$A$2:$D$41, 3, FALSE), "Merchant not found")</f>
        <v/>
      </c>
      <c r="K138">
        <f>IFERROR(VLOOKUP(C138, Merchants!$A$2:$D$41, 4, FALSE), "Merchant not found")</f>
        <v/>
      </c>
      <c r="L138">
        <f>HLOOKUP(F138, Fee_Tiers!$B$1:$E$2, 2, FALSE)</f>
        <v/>
      </c>
      <c r="M138">
        <f>IF(AND(E138&gt;5000, K138&lt;&gt;"&gt;East"), "High-Value Merchant Day", "Standard")</f>
        <v/>
      </c>
    </row>
    <row r="139">
      <c r="A139" t="inlineStr">
        <is>
          <t>TXN100137</t>
        </is>
      </c>
      <c r="B139" t="n">
        <v>163</v>
      </c>
      <c r="C139" t="n">
        <v>32</v>
      </c>
      <c r="D139" t="inlineStr">
        <is>
          <t>2026-01-28 17:24:00</t>
        </is>
      </c>
      <c r="E139" t="n">
        <v>2999</v>
      </c>
      <c r="F139" t="inlineStr">
        <is>
          <t>Wallet</t>
        </is>
      </c>
      <c r="G139" t="inlineStr">
        <is>
          <t>failed</t>
        </is>
      </c>
      <c r="H139" t="n">
        <v>69</v>
      </c>
      <c r="I139">
        <f>IFERROR(VLOOKUP(C139, Merchants!$A$2:$D$41, 2, FALSE), "Merchant not found")</f>
        <v/>
      </c>
      <c r="J139">
        <f>IFERROR(VLOOKUP(C139, Merchants!$A$2:$D$41, 3, FALSE), "Merchant not found")</f>
        <v/>
      </c>
      <c r="K139">
        <f>IFERROR(VLOOKUP(C139, Merchants!$A$2:$D$41, 4, FALSE), "Merchant not found")</f>
        <v/>
      </c>
      <c r="L139">
        <f>HLOOKUP(F139, Fee_Tiers!$B$1:$E$2, 2, FALSE)</f>
        <v/>
      </c>
      <c r="M139">
        <f>IF(AND(E139&gt;5000, K139&lt;&gt;"&gt;East"), "High-Value Merchant Day", "Standard")</f>
        <v/>
      </c>
    </row>
    <row r="140">
      <c r="A140" t="inlineStr">
        <is>
          <t>TXN100138</t>
        </is>
      </c>
      <c r="B140" t="n">
        <v>121</v>
      </c>
      <c r="C140" t="n">
        <v>19</v>
      </c>
      <c r="D140" t="inlineStr">
        <is>
          <t>2026-01-02 19:04:00</t>
        </is>
      </c>
      <c r="E140" t="n">
        <v>149</v>
      </c>
      <c r="F140" t="inlineStr">
        <is>
          <t>UPI</t>
        </is>
      </c>
      <c r="G140" t="inlineStr">
        <is>
          <t>captured</t>
        </is>
      </c>
      <c r="H140" t="n">
        <v>29</v>
      </c>
      <c r="I140">
        <f>IFERROR(VLOOKUP(C140, Merchants!$A$2:$D$41, 2, FALSE), "Merchant not found")</f>
        <v/>
      </c>
      <c r="J140">
        <f>IFERROR(VLOOKUP(C140, Merchants!$A$2:$D$41, 3, FALSE), "Merchant not found")</f>
        <v/>
      </c>
      <c r="K140">
        <f>IFERROR(VLOOKUP(C140, Merchants!$A$2:$D$41, 4, FALSE), "Merchant not found")</f>
        <v/>
      </c>
      <c r="L140">
        <f>HLOOKUP(F140, Fee_Tiers!$B$1:$E$2, 2, FALSE)</f>
        <v/>
      </c>
      <c r="M140">
        <f>IF(AND(E140&gt;5000, K140&lt;&gt;"&gt;East"), "High-Value Merchant Day", "Standard")</f>
        <v/>
      </c>
    </row>
    <row r="141">
      <c r="A141" t="inlineStr">
        <is>
          <t>TXN100139</t>
        </is>
      </c>
      <c r="B141" t="n">
        <v>51</v>
      </c>
      <c r="C141" t="n">
        <v>7</v>
      </c>
      <c r="D141" t="inlineStr">
        <is>
          <t>2026-01-24 02:27:00</t>
        </is>
      </c>
      <c r="E141" t="n">
        <v>499</v>
      </c>
      <c r="F141" t="inlineStr">
        <is>
          <t>Card</t>
        </is>
      </c>
      <c r="G141" t="inlineStr">
        <is>
          <t>captured</t>
        </is>
      </c>
      <c r="H141" t="n">
        <v>56</v>
      </c>
      <c r="I141">
        <f>IFERROR(VLOOKUP(C141, Merchants!$A$2:$D$41, 2, FALSE), "Merchant not found")</f>
        <v/>
      </c>
      <c r="J141">
        <f>IFERROR(VLOOKUP(C141, Merchants!$A$2:$D$41, 3, FALSE), "Merchant not found")</f>
        <v/>
      </c>
      <c r="K141">
        <f>IFERROR(VLOOKUP(C141, Merchants!$A$2:$D$41, 4, FALSE), "Merchant not found")</f>
        <v/>
      </c>
      <c r="L141">
        <f>HLOOKUP(F141, Fee_Tiers!$B$1:$E$2, 2, FALSE)</f>
        <v/>
      </c>
      <c r="M141">
        <f>IF(AND(E141&gt;5000, K141&lt;&gt;"&gt;East"), "High-Value Merchant Day", "Standard")</f>
        <v/>
      </c>
    </row>
    <row r="142">
      <c r="A142" t="inlineStr">
        <is>
          <t>TXN100140</t>
        </is>
      </c>
      <c r="B142" t="n">
        <v>15</v>
      </c>
      <c r="C142" t="n">
        <v>3</v>
      </c>
      <c r="D142" t="inlineStr">
        <is>
          <t>2026-01-06 22:19:00</t>
        </is>
      </c>
      <c r="E142" t="n">
        <v>799</v>
      </c>
      <c r="F142" t="inlineStr">
        <is>
          <t>UPI</t>
        </is>
      </c>
      <c r="G142" t="inlineStr">
        <is>
          <t>captured</t>
        </is>
      </c>
      <c r="H142" t="n">
        <v>41</v>
      </c>
      <c r="I142">
        <f>IFERROR(VLOOKUP(C142, Merchants!$A$2:$D$41, 2, FALSE), "Merchant not found")</f>
        <v/>
      </c>
      <c r="J142">
        <f>IFERROR(VLOOKUP(C142, Merchants!$A$2:$D$41, 3, FALSE), "Merchant not found")</f>
        <v/>
      </c>
      <c r="K142">
        <f>IFERROR(VLOOKUP(C142, Merchants!$A$2:$D$41, 4, FALSE), "Merchant not found")</f>
        <v/>
      </c>
      <c r="L142">
        <f>HLOOKUP(F142, Fee_Tiers!$B$1:$E$2, 2, FALSE)</f>
        <v/>
      </c>
      <c r="M142">
        <f>IF(AND(E142&gt;5000, K142&lt;&gt;"&gt;East"), "High-Value Merchant Day", "Standard")</f>
        <v/>
      </c>
    </row>
    <row r="143">
      <c r="A143" t="inlineStr">
        <is>
          <t>TXN100141</t>
        </is>
      </c>
      <c r="B143" t="n">
        <v>184</v>
      </c>
      <c r="C143" t="n">
        <v>24</v>
      </c>
      <c r="D143" t="inlineStr">
        <is>
          <t>2026-01-26 01:18:00</t>
        </is>
      </c>
      <c r="E143" t="n">
        <v>49</v>
      </c>
      <c r="F143" t="inlineStr">
        <is>
          <t>UPI</t>
        </is>
      </c>
      <c r="G143" t="inlineStr">
        <is>
          <t>captured</t>
        </is>
      </c>
      <c r="H143" t="n">
        <v>55</v>
      </c>
      <c r="I143">
        <f>IFERROR(VLOOKUP(C143, Merchants!$A$2:$D$41, 2, FALSE), "Merchant not found")</f>
        <v/>
      </c>
      <c r="J143">
        <f>IFERROR(VLOOKUP(C143, Merchants!$A$2:$D$41, 3, FALSE), "Merchant not found")</f>
        <v/>
      </c>
      <c r="K143">
        <f>IFERROR(VLOOKUP(C143, Merchants!$A$2:$D$41, 4, FALSE), "Merchant not found")</f>
        <v/>
      </c>
      <c r="L143">
        <f>HLOOKUP(F143, Fee_Tiers!$B$1:$E$2, 2, FALSE)</f>
        <v/>
      </c>
      <c r="M143">
        <f>IF(AND(E143&gt;5000, K143&lt;&gt;"&gt;East"), "High-Value Merchant Day", "Standard")</f>
        <v/>
      </c>
    </row>
    <row r="144">
      <c r="A144" t="inlineStr">
        <is>
          <t>TXN100142</t>
        </is>
      </c>
      <c r="B144" t="n">
        <v>211</v>
      </c>
      <c r="C144" t="n">
        <v>37</v>
      </c>
      <c r="D144" t="inlineStr">
        <is>
          <t>2026-01-05 07:33:00</t>
        </is>
      </c>
      <c r="E144" t="n">
        <v>1499</v>
      </c>
      <c r="F144" t="inlineStr">
        <is>
          <t>UPI</t>
        </is>
      </c>
      <c r="G144" t="inlineStr">
        <is>
          <t>captured</t>
        </is>
      </c>
      <c r="H144" t="n">
        <v>87</v>
      </c>
      <c r="I144">
        <f>IFERROR(VLOOKUP(C144, Merchants!$A$2:$D$41, 2, FALSE), "Merchant not found")</f>
        <v/>
      </c>
      <c r="J144">
        <f>IFERROR(VLOOKUP(C144, Merchants!$A$2:$D$41, 3, FALSE), "Merchant not found")</f>
        <v/>
      </c>
      <c r="K144">
        <f>IFERROR(VLOOKUP(C144, Merchants!$A$2:$D$41, 4, FALSE), "Merchant not found")</f>
        <v/>
      </c>
      <c r="L144">
        <f>HLOOKUP(F144, Fee_Tiers!$B$1:$E$2, 2, FALSE)</f>
        <v/>
      </c>
      <c r="M144">
        <f>IF(AND(E144&gt;5000, K144&lt;&gt;"&gt;East"), "High-Value Merchant Day", "Standard")</f>
        <v/>
      </c>
    </row>
    <row r="145">
      <c r="A145" t="inlineStr">
        <is>
          <t>TXN100143</t>
        </is>
      </c>
      <c r="B145" t="n">
        <v>90</v>
      </c>
      <c r="C145" t="n">
        <v>6</v>
      </c>
      <c r="D145" t="inlineStr">
        <is>
          <t>2026-01-26 05:10:00</t>
        </is>
      </c>
      <c r="E145" t="n">
        <v>49</v>
      </c>
      <c r="F145" t="inlineStr">
        <is>
          <t>Card</t>
        </is>
      </c>
      <c r="G145" t="inlineStr">
        <is>
          <t>captured</t>
        </is>
      </c>
      <c r="H145" t="n">
        <v>78</v>
      </c>
      <c r="I145">
        <f>IFERROR(VLOOKUP(C145, Merchants!$A$2:$D$41, 2, FALSE), "Merchant not found")</f>
        <v/>
      </c>
      <c r="J145">
        <f>IFERROR(VLOOKUP(C145, Merchants!$A$2:$D$41, 3, FALSE), "Merchant not found")</f>
        <v/>
      </c>
      <c r="K145">
        <f>IFERROR(VLOOKUP(C145, Merchants!$A$2:$D$41, 4, FALSE), "Merchant not found")</f>
        <v/>
      </c>
      <c r="L145">
        <f>HLOOKUP(F145, Fee_Tiers!$B$1:$E$2, 2, FALSE)</f>
        <v/>
      </c>
      <c r="M145">
        <f>IF(AND(E145&gt;5000, K145&lt;&gt;"&gt;East"), "High-Value Merchant Day", "Standard")</f>
        <v/>
      </c>
    </row>
    <row r="146">
      <c r="A146" t="inlineStr">
        <is>
          <t>TXN100144</t>
        </is>
      </c>
      <c r="B146" t="n">
        <v>350</v>
      </c>
      <c r="C146" t="n">
        <v>16</v>
      </c>
      <c r="D146" t="inlineStr">
        <is>
          <t>2026-01-28 12:39:00</t>
        </is>
      </c>
      <c r="E146" t="n">
        <v>49</v>
      </c>
      <c r="F146" t="inlineStr">
        <is>
          <t>UPI</t>
        </is>
      </c>
      <c r="G146" t="inlineStr">
        <is>
          <t>captured</t>
        </is>
      </c>
      <c r="H146" t="n">
        <v>63</v>
      </c>
      <c r="I146">
        <f>IFERROR(VLOOKUP(C146, Merchants!$A$2:$D$41, 2, FALSE), "Merchant not found")</f>
        <v/>
      </c>
      <c r="J146">
        <f>IFERROR(VLOOKUP(C146, Merchants!$A$2:$D$41, 3, FALSE), "Merchant not found")</f>
        <v/>
      </c>
      <c r="K146">
        <f>IFERROR(VLOOKUP(C146, Merchants!$A$2:$D$41, 4, FALSE), "Merchant not found")</f>
        <v/>
      </c>
      <c r="L146">
        <f>HLOOKUP(F146, Fee_Tiers!$B$1:$E$2, 2, FALSE)</f>
        <v/>
      </c>
      <c r="M146">
        <f>IF(AND(E146&gt;5000, K146&lt;&gt;"&gt;East"), "High-Value Merchant Day", "Standard")</f>
        <v/>
      </c>
    </row>
    <row r="147">
      <c r="A147" t="inlineStr">
        <is>
          <t>TXN100145</t>
        </is>
      </c>
      <c r="B147" t="n">
        <v>119</v>
      </c>
      <c r="C147" t="n">
        <v>30</v>
      </c>
      <c r="D147" t="inlineStr">
        <is>
          <t>2026-01-30 18:09:00</t>
        </is>
      </c>
      <c r="E147" t="n">
        <v>49</v>
      </c>
      <c r="F147" t="inlineStr">
        <is>
          <t>Card</t>
        </is>
      </c>
      <c r="G147" t="inlineStr">
        <is>
          <t>captured</t>
        </is>
      </c>
      <c r="H147" t="n">
        <v>81</v>
      </c>
      <c r="I147">
        <f>IFERROR(VLOOKUP(C147, Merchants!$A$2:$D$41, 2, FALSE), "Merchant not found")</f>
        <v/>
      </c>
      <c r="J147">
        <f>IFERROR(VLOOKUP(C147, Merchants!$A$2:$D$41, 3, FALSE), "Merchant not found")</f>
        <v/>
      </c>
      <c r="K147">
        <f>IFERROR(VLOOKUP(C147, Merchants!$A$2:$D$41, 4, FALSE), "Merchant not found")</f>
        <v/>
      </c>
      <c r="L147">
        <f>HLOOKUP(F147, Fee_Tiers!$B$1:$E$2, 2, FALSE)</f>
        <v/>
      </c>
      <c r="M147">
        <f>IF(AND(E147&gt;5000, K147&lt;&gt;"&gt;East"), "High-Value Merchant Day", "Standard")</f>
        <v/>
      </c>
    </row>
    <row r="148">
      <c r="A148" t="inlineStr">
        <is>
          <t>TXN100146</t>
        </is>
      </c>
      <c r="B148" t="n">
        <v>342</v>
      </c>
      <c r="C148" t="n">
        <v>1</v>
      </c>
      <c r="D148" t="inlineStr">
        <is>
          <t>2026-01-09 14:16:00</t>
        </is>
      </c>
      <c r="E148" t="n">
        <v>49</v>
      </c>
      <c r="F148" t="inlineStr">
        <is>
          <t>UPI</t>
        </is>
      </c>
      <c r="G148" t="inlineStr">
        <is>
          <t>captured</t>
        </is>
      </c>
      <c r="H148" t="n">
        <v>59</v>
      </c>
      <c r="I148">
        <f>IFERROR(VLOOKUP(C148, Merchants!$A$2:$D$41, 2, FALSE), "Merchant not found")</f>
        <v/>
      </c>
      <c r="J148">
        <f>IFERROR(VLOOKUP(C148, Merchants!$A$2:$D$41, 3, FALSE), "Merchant not found")</f>
        <v/>
      </c>
      <c r="K148">
        <f>IFERROR(VLOOKUP(C148, Merchants!$A$2:$D$41, 4, FALSE), "Merchant not found")</f>
        <v/>
      </c>
      <c r="L148">
        <f>HLOOKUP(F148, Fee_Tiers!$B$1:$E$2, 2, FALSE)</f>
        <v/>
      </c>
      <c r="M148">
        <f>IF(AND(E148&gt;5000, K148&lt;&gt;"&gt;East"), "High-Value Merchant Day", "Standard")</f>
        <v/>
      </c>
    </row>
    <row r="149">
      <c r="A149" t="inlineStr">
        <is>
          <t>TXN100147</t>
        </is>
      </c>
      <c r="B149" t="n">
        <v>280</v>
      </c>
      <c r="C149" t="n">
        <v>11</v>
      </c>
      <c r="D149" t="inlineStr">
        <is>
          <t>2026-01-29 09:43:00</t>
        </is>
      </c>
      <c r="E149" t="n">
        <v>149</v>
      </c>
      <c r="F149" t="inlineStr">
        <is>
          <t>UPI</t>
        </is>
      </c>
      <c r="G149" t="inlineStr">
        <is>
          <t>chargeback</t>
        </is>
      </c>
      <c r="H149" t="n">
        <v>9</v>
      </c>
      <c r="I149">
        <f>IFERROR(VLOOKUP(C149, Merchants!$A$2:$D$41, 2, FALSE), "Merchant not found")</f>
        <v/>
      </c>
      <c r="J149">
        <f>IFERROR(VLOOKUP(C149, Merchants!$A$2:$D$41, 3, FALSE), "Merchant not found")</f>
        <v/>
      </c>
      <c r="K149">
        <f>IFERROR(VLOOKUP(C149, Merchants!$A$2:$D$41, 4, FALSE), "Merchant not found")</f>
        <v/>
      </c>
      <c r="L149">
        <f>HLOOKUP(F149, Fee_Tiers!$B$1:$E$2, 2, FALSE)</f>
        <v/>
      </c>
      <c r="M149">
        <f>IF(AND(E149&gt;5000, K149&lt;&gt;"&gt;East"), "High-Value Merchant Day", "Standard")</f>
        <v/>
      </c>
    </row>
    <row r="150">
      <c r="A150" t="inlineStr">
        <is>
          <t>TXN100148</t>
        </is>
      </c>
      <c r="B150" t="n">
        <v>154</v>
      </c>
      <c r="C150" t="n">
        <v>28</v>
      </c>
      <c r="D150" t="inlineStr">
        <is>
          <t>2026-01-15 11:37:00</t>
        </is>
      </c>
      <c r="E150" t="n">
        <v>2999</v>
      </c>
      <c r="F150" t="inlineStr">
        <is>
          <t>Netbanking</t>
        </is>
      </c>
      <c r="G150" t="inlineStr">
        <is>
          <t>captured</t>
        </is>
      </c>
      <c r="H150" t="n">
        <v>88</v>
      </c>
      <c r="I150">
        <f>IFERROR(VLOOKUP(C150, Merchants!$A$2:$D$41, 2, FALSE), "Merchant not found")</f>
        <v/>
      </c>
      <c r="J150">
        <f>IFERROR(VLOOKUP(C150, Merchants!$A$2:$D$41, 3, FALSE), "Merchant not found")</f>
        <v/>
      </c>
      <c r="K150">
        <f>IFERROR(VLOOKUP(C150, Merchants!$A$2:$D$41, 4, FALSE), "Merchant not found")</f>
        <v/>
      </c>
      <c r="L150">
        <f>HLOOKUP(F150, Fee_Tiers!$B$1:$E$2, 2, FALSE)</f>
        <v/>
      </c>
      <c r="M150">
        <f>IF(AND(E150&gt;5000, K150&lt;&gt;"&gt;East"), "High-Value Merchant Day", "Standard")</f>
        <v/>
      </c>
    </row>
    <row r="151">
      <c r="A151" t="inlineStr">
        <is>
          <t>TXN100149</t>
        </is>
      </c>
      <c r="B151" t="n">
        <v>155</v>
      </c>
      <c r="C151" t="n">
        <v>13</v>
      </c>
      <c r="D151" t="inlineStr">
        <is>
          <t>2026-01-09 14:54:00</t>
        </is>
      </c>
      <c r="E151" t="n">
        <v>149</v>
      </c>
      <c r="F151" t="inlineStr">
        <is>
          <t>UPI</t>
        </is>
      </c>
      <c r="G151" t="inlineStr">
        <is>
          <t>captured</t>
        </is>
      </c>
      <c r="H151" t="n">
        <v>49</v>
      </c>
      <c r="I151">
        <f>IFERROR(VLOOKUP(C151, Merchants!$A$2:$D$41, 2, FALSE), "Merchant not found")</f>
        <v/>
      </c>
      <c r="J151">
        <f>IFERROR(VLOOKUP(C151, Merchants!$A$2:$D$41, 3, FALSE), "Merchant not found")</f>
        <v/>
      </c>
      <c r="K151">
        <f>IFERROR(VLOOKUP(C151, Merchants!$A$2:$D$41, 4, FALSE), "Merchant not found")</f>
        <v/>
      </c>
      <c r="L151">
        <f>HLOOKUP(F151, Fee_Tiers!$B$1:$E$2, 2, FALSE)</f>
        <v/>
      </c>
      <c r="M151">
        <f>IF(AND(E151&gt;5000, K151&lt;&gt;"&gt;East"), "High-Value Merchant Day", "Standard")</f>
        <v/>
      </c>
    </row>
    <row r="152">
      <c r="A152" t="inlineStr">
        <is>
          <t>TXN100150</t>
        </is>
      </c>
      <c r="B152" t="n">
        <v>122</v>
      </c>
      <c r="C152" t="n">
        <v>25</v>
      </c>
      <c r="D152" t="inlineStr">
        <is>
          <t>2026-01-28 15:06:00</t>
        </is>
      </c>
      <c r="E152" t="n">
        <v>299</v>
      </c>
      <c r="F152" t="inlineStr">
        <is>
          <t>UPI</t>
        </is>
      </c>
      <c r="G152" t="inlineStr">
        <is>
          <t>captured</t>
        </is>
      </c>
      <c r="H152" t="n">
        <v>73</v>
      </c>
      <c r="I152">
        <f>IFERROR(VLOOKUP(C152, Merchants!$A$2:$D$41, 2, FALSE), "Merchant not found")</f>
        <v/>
      </c>
      <c r="J152">
        <f>IFERROR(VLOOKUP(C152, Merchants!$A$2:$D$41, 3, FALSE), "Merchant not found")</f>
        <v/>
      </c>
      <c r="K152">
        <f>IFERROR(VLOOKUP(C152, Merchants!$A$2:$D$41, 4, FALSE), "Merchant not found")</f>
        <v/>
      </c>
      <c r="L152">
        <f>HLOOKUP(F152, Fee_Tiers!$B$1:$E$2, 2, FALSE)</f>
        <v/>
      </c>
      <c r="M152">
        <f>IF(AND(E152&gt;5000, K152&lt;&gt;"&gt;East"), "High-Value Merchant Day", "Standard")</f>
        <v/>
      </c>
    </row>
    <row r="153">
      <c r="A153" t="inlineStr">
        <is>
          <t>TXN100151</t>
        </is>
      </c>
      <c r="B153" t="n">
        <v>152</v>
      </c>
      <c r="C153" t="n">
        <v>2</v>
      </c>
      <c r="D153" t="inlineStr">
        <is>
          <t>2026-01-12 18:18:00</t>
        </is>
      </c>
      <c r="E153" t="n">
        <v>49</v>
      </c>
      <c r="F153" t="inlineStr">
        <is>
          <t>UPI</t>
        </is>
      </c>
      <c r="G153" t="inlineStr">
        <is>
          <t>captured</t>
        </is>
      </c>
      <c r="H153" t="n">
        <v>84</v>
      </c>
      <c r="I153">
        <f>IFERROR(VLOOKUP(C153, Merchants!$A$2:$D$41, 2, FALSE), "Merchant not found")</f>
        <v/>
      </c>
      <c r="J153">
        <f>IFERROR(VLOOKUP(C153, Merchants!$A$2:$D$41, 3, FALSE), "Merchant not found")</f>
        <v/>
      </c>
      <c r="K153">
        <f>IFERROR(VLOOKUP(C153, Merchants!$A$2:$D$41, 4, FALSE), "Merchant not found")</f>
        <v/>
      </c>
      <c r="L153">
        <f>HLOOKUP(F153, Fee_Tiers!$B$1:$E$2, 2, FALSE)</f>
        <v/>
      </c>
      <c r="M153">
        <f>IF(AND(E153&gt;5000, K153&lt;&gt;"&gt;East"), "High-Value Merchant Day", "Standard")</f>
        <v/>
      </c>
    </row>
    <row r="154">
      <c r="A154" t="inlineStr">
        <is>
          <t>TXN100152</t>
        </is>
      </c>
      <c r="B154" t="n">
        <v>290</v>
      </c>
      <c r="C154" t="n">
        <v>4</v>
      </c>
      <c r="D154" t="inlineStr">
        <is>
          <t>2026-01-13 08:00:00</t>
        </is>
      </c>
      <c r="E154" t="n">
        <v>149</v>
      </c>
      <c r="F154" t="inlineStr">
        <is>
          <t>UPI</t>
        </is>
      </c>
      <c r="G154" t="inlineStr">
        <is>
          <t>captured</t>
        </is>
      </c>
      <c r="H154" t="n">
        <v>77</v>
      </c>
      <c r="I154">
        <f>IFERROR(VLOOKUP(C154, Merchants!$A$2:$D$41, 2, FALSE), "Merchant not found")</f>
        <v/>
      </c>
      <c r="J154">
        <f>IFERROR(VLOOKUP(C154, Merchants!$A$2:$D$41, 3, FALSE), "Merchant not found")</f>
        <v/>
      </c>
      <c r="K154">
        <f>IFERROR(VLOOKUP(C154, Merchants!$A$2:$D$41, 4, FALSE), "Merchant not found")</f>
        <v/>
      </c>
      <c r="L154">
        <f>HLOOKUP(F154, Fee_Tiers!$B$1:$E$2, 2, FALSE)</f>
        <v/>
      </c>
      <c r="M154">
        <f>IF(AND(E154&gt;5000, K154&lt;&gt;"&gt;East"), "High-Value Merchant Day", "Standard")</f>
        <v/>
      </c>
    </row>
    <row r="155">
      <c r="A155" t="inlineStr">
        <is>
          <t>TXN100153</t>
        </is>
      </c>
      <c r="B155" t="n">
        <v>147</v>
      </c>
      <c r="C155" t="n">
        <v>15</v>
      </c>
      <c r="D155" t="inlineStr">
        <is>
          <t>2026-01-24 15:53:00</t>
        </is>
      </c>
      <c r="E155" t="n">
        <v>49</v>
      </c>
      <c r="F155" t="inlineStr">
        <is>
          <t>Wallet</t>
        </is>
      </c>
      <c r="G155" t="inlineStr">
        <is>
          <t>captured</t>
        </is>
      </c>
      <c r="H155" t="n">
        <v>77</v>
      </c>
      <c r="I155">
        <f>IFERROR(VLOOKUP(C155, Merchants!$A$2:$D$41, 2, FALSE), "Merchant not found")</f>
        <v/>
      </c>
      <c r="J155">
        <f>IFERROR(VLOOKUP(C155, Merchants!$A$2:$D$41, 3, FALSE), "Merchant not found")</f>
        <v/>
      </c>
      <c r="K155">
        <f>IFERROR(VLOOKUP(C155, Merchants!$A$2:$D$41, 4, FALSE), "Merchant not found")</f>
        <v/>
      </c>
      <c r="L155">
        <f>HLOOKUP(F155, Fee_Tiers!$B$1:$E$2, 2, FALSE)</f>
        <v/>
      </c>
      <c r="M155">
        <f>IF(AND(E155&gt;5000, K155&lt;&gt;"&gt;East"), "High-Value Merchant Day", "Standard")</f>
        <v/>
      </c>
    </row>
    <row r="156">
      <c r="A156" t="inlineStr">
        <is>
          <t>TXN100154</t>
        </is>
      </c>
      <c r="B156" t="n">
        <v>326</v>
      </c>
      <c r="C156" t="n">
        <v>13</v>
      </c>
      <c r="D156" t="inlineStr">
        <is>
          <t>2026-01-26 11:14:00</t>
        </is>
      </c>
      <c r="E156" t="n">
        <v>299</v>
      </c>
      <c r="F156" t="inlineStr">
        <is>
          <t>Netbanking</t>
        </is>
      </c>
      <c r="G156" t="inlineStr">
        <is>
          <t>captured</t>
        </is>
      </c>
      <c r="H156" t="n">
        <v>79</v>
      </c>
      <c r="I156">
        <f>IFERROR(VLOOKUP(C156, Merchants!$A$2:$D$41, 2, FALSE), "Merchant not found")</f>
        <v/>
      </c>
      <c r="J156">
        <f>IFERROR(VLOOKUP(C156, Merchants!$A$2:$D$41, 3, FALSE), "Merchant not found")</f>
        <v/>
      </c>
      <c r="K156">
        <f>IFERROR(VLOOKUP(C156, Merchants!$A$2:$D$41, 4, FALSE), "Merchant not found")</f>
        <v/>
      </c>
      <c r="L156">
        <f>HLOOKUP(F156, Fee_Tiers!$B$1:$E$2, 2, FALSE)</f>
        <v/>
      </c>
      <c r="M156">
        <f>IF(AND(E156&gt;5000, K156&lt;&gt;"&gt;East"), "High-Value Merchant Day", "Standard")</f>
        <v/>
      </c>
    </row>
    <row r="157">
      <c r="A157" t="inlineStr">
        <is>
          <t>TXN100155</t>
        </is>
      </c>
      <c r="B157" t="n">
        <v>338</v>
      </c>
      <c r="C157" t="n">
        <v>9</v>
      </c>
      <c r="D157" t="inlineStr">
        <is>
          <t>2026-01-09 21:48:00</t>
        </is>
      </c>
      <c r="E157" t="n">
        <v>99</v>
      </c>
      <c r="F157" t="inlineStr">
        <is>
          <t>Card</t>
        </is>
      </c>
      <c r="G157" t="inlineStr">
        <is>
          <t>captured</t>
        </is>
      </c>
      <c r="H157" t="n">
        <v>80</v>
      </c>
      <c r="I157">
        <f>IFERROR(VLOOKUP(C157, Merchants!$A$2:$D$41, 2, FALSE), "Merchant not found")</f>
        <v/>
      </c>
      <c r="J157">
        <f>IFERROR(VLOOKUP(C157, Merchants!$A$2:$D$41, 3, FALSE), "Merchant not found")</f>
        <v/>
      </c>
      <c r="K157">
        <f>IFERROR(VLOOKUP(C157, Merchants!$A$2:$D$41, 4, FALSE), "Merchant not found")</f>
        <v/>
      </c>
      <c r="L157">
        <f>HLOOKUP(F157, Fee_Tiers!$B$1:$E$2, 2, FALSE)</f>
        <v/>
      </c>
      <c r="M157">
        <f>IF(AND(E157&gt;5000, K157&lt;&gt;"&gt;East"), "High-Value Merchant Day", "Standard")</f>
        <v/>
      </c>
    </row>
    <row r="158">
      <c r="A158" t="inlineStr">
        <is>
          <t>TXN100156</t>
        </is>
      </c>
      <c r="B158" t="n">
        <v>21</v>
      </c>
      <c r="C158" t="n">
        <v>20</v>
      </c>
      <c r="D158" t="inlineStr">
        <is>
          <t>2026-01-04 20:41:00</t>
        </is>
      </c>
      <c r="E158" t="n">
        <v>2999</v>
      </c>
      <c r="F158" t="inlineStr">
        <is>
          <t>UPI</t>
        </is>
      </c>
      <c r="G158" t="inlineStr">
        <is>
          <t>captured</t>
        </is>
      </c>
      <c r="H158" t="n">
        <v>100</v>
      </c>
      <c r="I158">
        <f>IFERROR(VLOOKUP(C158, Merchants!$A$2:$D$41, 2, FALSE), "Merchant not found")</f>
        <v/>
      </c>
      <c r="J158">
        <f>IFERROR(VLOOKUP(C158, Merchants!$A$2:$D$41, 3, FALSE), "Merchant not found")</f>
        <v/>
      </c>
      <c r="K158">
        <f>IFERROR(VLOOKUP(C158, Merchants!$A$2:$D$41, 4, FALSE), "Merchant not found")</f>
        <v/>
      </c>
      <c r="L158">
        <f>HLOOKUP(F158, Fee_Tiers!$B$1:$E$2, 2, FALSE)</f>
        <v/>
      </c>
      <c r="M158">
        <f>IF(AND(E158&gt;5000, K158&lt;&gt;"&gt;East"), "High-Value Merchant Day", "Standard")</f>
        <v/>
      </c>
    </row>
    <row r="159">
      <c r="A159" t="inlineStr">
        <is>
          <t>TXN100157</t>
        </is>
      </c>
      <c r="B159" t="n">
        <v>187</v>
      </c>
      <c r="C159" t="n">
        <v>9</v>
      </c>
      <c r="D159" t="inlineStr">
        <is>
          <t>2026-01-15 01:37:00</t>
        </is>
      </c>
      <c r="E159" t="n">
        <v>49</v>
      </c>
      <c r="F159" t="inlineStr">
        <is>
          <t>Card</t>
        </is>
      </c>
      <c r="G159" t="inlineStr">
        <is>
          <t>failed</t>
        </is>
      </c>
      <c r="H159" t="n">
        <v>11</v>
      </c>
      <c r="I159">
        <f>IFERROR(VLOOKUP(C159, Merchants!$A$2:$D$41, 2, FALSE), "Merchant not found")</f>
        <v/>
      </c>
      <c r="J159">
        <f>IFERROR(VLOOKUP(C159, Merchants!$A$2:$D$41, 3, FALSE), "Merchant not found")</f>
        <v/>
      </c>
      <c r="K159">
        <f>IFERROR(VLOOKUP(C159, Merchants!$A$2:$D$41, 4, FALSE), "Merchant not found")</f>
        <v/>
      </c>
      <c r="L159">
        <f>HLOOKUP(F159, Fee_Tiers!$B$1:$E$2, 2, FALSE)</f>
        <v/>
      </c>
      <c r="M159">
        <f>IF(AND(E159&gt;5000, K159&lt;&gt;"&gt;East"), "High-Value Merchant Day", "Standard")</f>
        <v/>
      </c>
    </row>
    <row r="160">
      <c r="A160" t="inlineStr">
        <is>
          <t>TXN100158</t>
        </is>
      </c>
      <c r="B160" t="n">
        <v>213</v>
      </c>
      <c r="C160" t="n">
        <v>12</v>
      </c>
      <c r="D160" t="inlineStr">
        <is>
          <t>2026-01-30 09:20:00</t>
        </is>
      </c>
      <c r="E160" t="n">
        <v>4999</v>
      </c>
      <c r="F160" t="inlineStr">
        <is>
          <t>UPI</t>
        </is>
      </c>
      <c r="G160" t="inlineStr">
        <is>
          <t>captured</t>
        </is>
      </c>
      <c r="H160" t="n">
        <v>25</v>
      </c>
      <c r="I160">
        <f>IFERROR(VLOOKUP(C160, Merchants!$A$2:$D$41, 2, FALSE), "Merchant not found")</f>
        <v/>
      </c>
      <c r="J160">
        <f>IFERROR(VLOOKUP(C160, Merchants!$A$2:$D$41, 3, FALSE), "Merchant not found")</f>
        <v/>
      </c>
      <c r="K160">
        <f>IFERROR(VLOOKUP(C160, Merchants!$A$2:$D$41, 4, FALSE), "Merchant not found")</f>
        <v/>
      </c>
      <c r="L160">
        <f>HLOOKUP(F160, Fee_Tiers!$B$1:$E$2, 2, FALSE)</f>
        <v/>
      </c>
      <c r="M160">
        <f>IF(AND(E160&gt;5000, K160&lt;&gt;"&gt;East"), "High-Value Merchant Day", "Standard")</f>
        <v/>
      </c>
    </row>
    <row r="161">
      <c r="A161" t="inlineStr">
        <is>
          <t>TXN100159</t>
        </is>
      </c>
      <c r="B161" t="n">
        <v>188</v>
      </c>
      <c r="C161" t="n">
        <v>34</v>
      </c>
      <c r="D161" t="inlineStr">
        <is>
          <t>2026-01-05 17:56:00</t>
        </is>
      </c>
      <c r="E161" t="n">
        <v>2999</v>
      </c>
      <c r="F161" t="inlineStr">
        <is>
          <t>UPI</t>
        </is>
      </c>
      <c r="G161" t="inlineStr">
        <is>
          <t>captured</t>
        </is>
      </c>
      <c r="H161" t="n">
        <v>64</v>
      </c>
      <c r="I161">
        <f>IFERROR(VLOOKUP(C161, Merchants!$A$2:$D$41, 2, FALSE), "Merchant not found")</f>
        <v/>
      </c>
      <c r="J161">
        <f>IFERROR(VLOOKUP(C161, Merchants!$A$2:$D$41, 3, FALSE), "Merchant not found")</f>
        <v/>
      </c>
      <c r="K161">
        <f>IFERROR(VLOOKUP(C161, Merchants!$A$2:$D$41, 4, FALSE), "Merchant not found")</f>
        <v/>
      </c>
      <c r="L161">
        <f>HLOOKUP(F161, Fee_Tiers!$B$1:$E$2, 2, FALSE)</f>
        <v/>
      </c>
      <c r="M161">
        <f>IF(AND(E161&gt;5000, K161&lt;&gt;"&gt;East"), "High-Value Merchant Day", "Standard")</f>
        <v/>
      </c>
    </row>
    <row r="162">
      <c r="A162" t="inlineStr">
        <is>
          <t>TXN100160</t>
        </is>
      </c>
      <c r="B162" t="n">
        <v>85</v>
      </c>
      <c r="C162" t="n">
        <v>17</v>
      </c>
      <c r="D162" t="inlineStr">
        <is>
          <t>2026-01-30 08:53:00</t>
        </is>
      </c>
      <c r="E162" t="n">
        <v>499</v>
      </c>
      <c r="F162" t="inlineStr">
        <is>
          <t>UPI</t>
        </is>
      </c>
      <c r="G162" t="inlineStr">
        <is>
          <t>captured</t>
        </is>
      </c>
      <c r="H162" t="n">
        <v>61</v>
      </c>
      <c r="I162">
        <f>IFERROR(VLOOKUP(C162, Merchants!$A$2:$D$41, 2, FALSE), "Merchant not found")</f>
        <v/>
      </c>
      <c r="J162">
        <f>IFERROR(VLOOKUP(C162, Merchants!$A$2:$D$41, 3, FALSE), "Merchant not found")</f>
        <v/>
      </c>
      <c r="K162">
        <f>IFERROR(VLOOKUP(C162, Merchants!$A$2:$D$41, 4, FALSE), "Merchant not found")</f>
        <v/>
      </c>
      <c r="L162">
        <f>HLOOKUP(F162, Fee_Tiers!$B$1:$E$2, 2, FALSE)</f>
        <v/>
      </c>
      <c r="M162">
        <f>IF(AND(E162&gt;5000, K162&lt;&gt;"&gt;East"), "High-Value Merchant Day", "Standard")</f>
        <v/>
      </c>
    </row>
    <row r="163">
      <c r="A163" t="inlineStr">
        <is>
          <t>TXN100161</t>
        </is>
      </c>
      <c r="B163" t="n">
        <v>174</v>
      </c>
      <c r="C163" t="n">
        <v>8</v>
      </c>
      <c r="D163" t="inlineStr">
        <is>
          <t>2026-01-26 09:47:00</t>
        </is>
      </c>
      <c r="E163" t="n">
        <v>299</v>
      </c>
      <c r="F163" t="inlineStr">
        <is>
          <t>Netbanking</t>
        </is>
      </c>
      <c r="G163" t="inlineStr">
        <is>
          <t>captured</t>
        </is>
      </c>
      <c r="H163" t="n">
        <v>59</v>
      </c>
      <c r="I163">
        <f>IFERROR(VLOOKUP(C163, Merchants!$A$2:$D$41, 2, FALSE), "Merchant not found")</f>
        <v/>
      </c>
      <c r="J163">
        <f>IFERROR(VLOOKUP(C163, Merchants!$A$2:$D$41, 3, FALSE), "Merchant not found")</f>
        <v/>
      </c>
      <c r="K163">
        <f>IFERROR(VLOOKUP(C163, Merchants!$A$2:$D$41, 4, FALSE), "Merchant not found")</f>
        <v/>
      </c>
      <c r="L163">
        <f>HLOOKUP(F163, Fee_Tiers!$B$1:$E$2, 2, FALSE)</f>
        <v/>
      </c>
      <c r="M163">
        <f>IF(AND(E163&gt;5000, K163&lt;&gt;"&gt;East"), "High-Value Merchant Day", "Standard")</f>
        <v/>
      </c>
    </row>
    <row r="164">
      <c r="A164" t="inlineStr">
        <is>
          <t>TXN100162</t>
        </is>
      </c>
      <c r="B164" t="n">
        <v>116</v>
      </c>
      <c r="C164" t="n">
        <v>26</v>
      </c>
      <c r="D164" t="inlineStr">
        <is>
          <t>2026-01-03 04:48:00</t>
        </is>
      </c>
      <c r="E164" t="n">
        <v>99</v>
      </c>
      <c r="F164" t="inlineStr">
        <is>
          <t>Netbanking</t>
        </is>
      </c>
      <c r="G164" t="inlineStr">
        <is>
          <t>captured</t>
        </is>
      </c>
      <c r="H164" t="n">
        <v>71</v>
      </c>
      <c r="I164">
        <f>IFERROR(VLOOKUP(C164, Merchants!$A$2:$D$41, 2, FALSE), "Merchant not found")</f>
        <v/>
      </c>
      <c r="J164">
        <f>IFERROR(VLOOKUP(C164, Merchants!$A$2:$D$41, 3, FALSE), "Merchant not found")</f>
        <v/>
      </c>
      <c r="K164">
        <f>IFERROR(VLOOKUP(C164, Merchants!$A$2:$D$41, 4, FALSE), "Merchant not found")</f>
        <v/>
      </c>
      <c r="L164">
        <f>HLOOKUP(F164, Fee_Tiers!$B$1:$E$2, 2, FALSE)</f>
        <v/>
      </c>
      <c r="M164">
        <f>IF(AND(E164&gt;5000, K164&lt;&gt;"&gt;East"), "High-Value Merchant Day", "Standard")</f>
        <v/>
      </c>
    </row>
    <row r="165">
      <c r="A165" t="inlineStr">
        <is>
          <t>TXN100163</t>
        </is>
      </c>
      <c r="B165" t="n">
        <v>203</v>
      </c>
      <c r="C165" t="n">
        <v>1</v>
      </c>
      <c r="D165" t="inlineStr">
        <is>
          <t>2026-01-12 02:50:00</t>
        </is>
      </c>
      <c r="E165" t="n">
        <v>149</v>
      </c>
      <c r="F165" t="inlineStr">
        <is>
          <t>Wallet</t>
        </is>
      </c>
      <c r="G165" t="inlineStr">
        <is>
          <t>captured</t>
        </is>
      </c>
      <c r="H165" t="n">
        <v>33</v>
      </c>
      <c r="I165">
        <f>IFERROR(VLOOKUP(C165, Merchants!$A$2:$D$41, 2, FALSE), "Merchant not found")</f>
        <v/>
      </c>
      <c r="J165">
        <f>IFERROR(VLOOKUP(C165, Merchants!$A$2:$D$41, 3, FALSE), "Merchant not found")</f>
        <v/>
      </c>
      <c r="K165">
        <f>IFERROR(VLOOKUP(C165, Merchants!$A$2:$D$41, 4, FALSE), "Merchant not found")</f>
        <v/>
      </c>
      <c r="L165">
        <f>HLOOKUP(F165, Fee_Tiers!$B$1:$E$2, 2, FALSE)</f>
        <v/>
      </c>
      <c r="M165">
        <f>IF(AND(E165&gt;5000, K165&lt;&gt;"&gt;East"), "High-Value Merchant Day", "Standard")</f>
        <v/>
      </c>
    </row>
    <row r="166">
      <c r="A166" t="inlineStr">
        <is>
          <t>TXN100164</t>
        </is>
      </c>
      <c r="B166" t="n">
        <v>189</v>
      </c>
      <c r="C166" t="n">
        <v>17</v>
      </c>
      <c r="D166" t="inlineStr">
        <is>
          <t>2026-01-18 03:29:00</t>
        </is>
      </c>
      <c r="E166" t="n">
        <v>99</v>
      </c>
      <c r="F166" t="inlineStr">
        <is>
          <t>UPI</t>
        </is>
      </c>
      <c r="G166" t="inlineStr">
        <is>
          <t>captured</t>
        </is>
      </c>
      <c r="H166" t="n">
        <v>74</v>
      </c>
      <c r="I166">
        <f>IFERROR(VLOOKUP(C166, Merchants!$A$2:$D$41, 2, FALSE), "Merchant not found")</f>
        <v/>
      </c>
      <c r="J166">
        <f>IFERROR(VLOOKUP(C166, Merchants!$A$2:$D$41, 3, FALSE), "Merchant not found")</f>
        <v/>
      </c>
      <c r="K166">
        <f>IFERROR(VLOOKUP(C166, Merchants!$A$2:$D$41, 4, FALSE), "Merchant not found")</f>
        <v/>
      </c>
      <c r="L166">
        <f>HLOOKUP(F166, Fee_Tiers!$B$1:$E$2, 2, FALSE)</f>
        <v/>
      </c>
      <c r="M166">
        <f>IF(AND(E166&gt;5000, K166&lt;&gt;"&gt;East"), "High-Value Merchant Day", "Standard")</f>
        <v/>
      </c>
    </row>
    <row r="167">
      <c r="A167" t="inlineStr">
        <is>
          <t>TXN100165</t>
        </is>
      </c>
      <c r="B167" t="n">
        <v>56</v>
      </c>
      <c r="C167" t="n">
        <v>15</v>
      </c>
      <c r="D167" t="inlineStr">
        <is>
          <t>2026-01-13 20:23:00</t>
        </is>
      </c>
      <c r="E167" t="n">
        <v>299</v>
      </c>
      <c r="F167" t="inlineStr">
        <is>
          <t>UPI</t>
        </is>
      </c>
      <c r="G167" t="inlineStr">
        <is>
          <t>captured</t>
        </is>
      </c>
      <c r="H167" t="n">
        <v>60</v>
      </c>
      <c r="I167">
        <f>IFERROR(VLOOKUP(C167, Merchants!$A$2:$D$41, 2, FALSE), "Merchant not found")</f>
        <v/>
      </c>
      <c r="J167">
        <f>IFERROR(VLOOKUP(C167, Merchants!$A$2:$D$41, 3, FALSE), "Merchant not found")</f>
        <v/>
      </c>
      <c r="K167">
        <f>IFERROR(VLOOKUP(C167, Merchants!$A$2:$D$41, 4, FALSE), "Merchant not found")</f>
        <v/>
      </c>
      <c r="L167">
        <f>HLOOKUP(F167, Fee_Tiers!$B$1:$E$2, 2, FALSE)</f>
        <v/>
      </c>
      <c r="M167">
        <f>IF(AND(E167&gt;5000, K167&lt;&gt;"&gt;East"), "High-Value Merchant Day", "Standard")</f>
        <v/>
      </c>
    </row>
    <row r="168">
      <c r="A168" t="inlineStr">
        <is>
          <t>TXN100166</t>
        </is>
      </c>
      <c r="B168" t="n">
        <v>288</v>
      </c>
      <c r="C168" t="n">
        <v>21</v>
      </c>
      <c r="D168" t="inlineStr">
        <is>
          <t>2026-01-01 19:56:00</t>
        </is>
      </c>
      <c r="E168" t="n">
        <v>4999</v>
      </c>
      <c r="F168" t="inlineStr">
        <is>
          <t>Wallet</t>
        </is>
      </c>
      <c r="G168" t="inlineStr">
        <is>
          <t>failed</t>
        </is>
      </c>
      <c r="H168" t="n">
        <v>78</v>
      </c>
      <c r="I168">
        <f>IFERROR(VLOOKUP(C168, Merchants!$A$2:$D$41, 2, FALSE), "Merchant not found")</f>
        <v/>
      </c>
      <c r="J168">
        <f>IFERROR(VLOOKUP(C168, Merchants!$A$2:$D$41, 3, FALSE), "Merchant not found")</f>
        <v/>
      </c>
      <c r="K168">
        <f>IFERROR(VLOOKUP(C168, Merchants!$A$2:$D$41, 4, FALSE), "Merchant not found")</f>
        <v/>
      </c>
      <c r="L168">
        <f>HLOOKUP(F168, Fee_Tiers!$B$1:$E$2, 2, FALSE)</f>
        <v/>
      </c>
      <c r="M168">
        <f>IF(AND(E168&gt;5000, K168&lt;&gt;"&gt;East"), "High-Value Merchant Day", "Standard")</f>
        <v/>
      </c>
    </row>
    <row r="169">
      <c r="A169" t="inlineStr">
        <is>
          <t>TXN100167</t>
        </is>
      </c>
      <c r="B169" t="n">
        <v>326</v>
      </c>
      <c r="C169" t="n">
        <v>30</v>
      </c>
      <c r="D169" t="inlineStr">
        <is>
          <t>2026-01-08 20:04:00</t>
        </is>
      </c>
      <c r="E169" t="n">
        <v>99</v>
      </c>
      <c r="F169" t="inlineStr">
        <is>
          <t>Card</t>
        </is>
      </c>
      <c r="G169" t="inlineStr">
        <is>
          <t>captured</t>
        </is>
      </c>
      <c r="H169" t="n">
        <v>89</v>
      </c>
      <c r="I169">
        <f>IFERROR(VLOOKUP(C169, Merchants!$A$2:$D$41, 2, FALSE), "Merchant not found")</f>
        <v/>
      </c>
      <c r="J169">
        <f>IFERROR(VLOOKUP(C169, Merchants!$A$2:$D$41, 3, FALSE), "Merchant not found")</f>
        <v/>
      </c>
      <c r="K169">
        <f>IFERROR(VLOOKUP(C169, Merchants!$A$2:$D$41, 4, FALSE), "Merchant not found")</f>
        <v/>
      </c>
      <c r="L169">
        <f>HLOOKUP(F169, Fee_Tiers!$B$1:$E$2, 2, FALSE)</f>
        <v/>
      </c>
      <c r="M169">
        <f>IF(AND(E169&gt;5000, K169&lt;&gt;"&gt;East"), "High-Value Merchant Day", "Standard")</f>
        <v/>
      </c>
    </row>
    <row r="170">
      <c r="A170" t="inlineStr">
        <is>
          <t>TXN100168</t>
        </is>
      </c>
      <c r="B170" t="n">
        <v>60</v>
      </c>
      <c r="C170" t="n">
        <v>9</v>
      </c>
      <c r="D170" t="inlineStr">
        <is>
          <t>2026-01-10 20:26:00</t>
        </is>
      </c>
      <c r="E170" t="n">
        <v>49</v>
      </c>
      <c r="F170" t="inlineStr">
        <is>
          <t>Netbanking</t>
        </is>
      </c>
      <c r="G170" t="inlineStr">
        <is>
          <t>captured</t>
        </is>
      </c>
      <c r="H170" t="n">
        <v>5</v>
      </c>
      <c r="I170">
        <f>IFERROR(VLOOKUP(C170, Merchants!$A$2:$D$41, 2, FALSE), "Merchant not found")</f>
        <v/>
      </c>
      <c r="J170">
        <f>IFERROR(VLOOKUP(C170, Merchants!$A$2:$D$41, 3, FALSE), "Merchant not found")</f>
        <v/>
      </c>
      <c r="K170">
        <f>IFERROR(VLOOKUP(C170, Merchants!$A$2:$D$41, 4, FALSE), "Merchant not found")</f>
        <v/>
      </c>
      <c r="L170">
        <f>HLOOKUP(F170, Fee_Tiers!$B$1:$E$2, 2, FALSE)</f>
        <v/>
      </c>
      <c r="M170">
        <f>IF(AND(E170&gt;5000, K170&lt;&gt;"&gt;East"), "High-Value Merchant Day", "Standard")</f>
        <v/>
      </c>
    </row>
    <row r="171">
      <c r="A171" t="inlineStr">
        <is>
          <t>TXN100169</t>
        </is>
      </c>
      <c r="B171" t="n">
        <v>60</v>
      </c>
      <c r="C171" t="n">
        <v>7</v>
      </c>
      <c r="D171" t="inlineStr">
        <is>
          <t>2026-01-02 09:31:00</t>
        </is>
      </c>
      <c r="E171" t="n">
        <v>2999</v>
      </c>
      <c r="F171" t="inlineStr">
        <is>
          <t>Wallet</t>
        </is>
      </c>
      <c r="G171" t="inlineStr">
        <is>
          <t>captured</t>
        </is>
      </c>
      <c r="H171" t="n">
        <v>30</v>
      </c>
      <c r="I171">
        <f>IFERROR(VLOOKUP(C171, Merchants!$A$2:$D$41, 2, FALSE), "Merchant not found")</f>
        <v/>
      </c>
      <c r="J171">
        <f>IFERROR(VLOOKUP(C171, Merchants!$A$2:$D$41, 3, FALSE), "Merchant not found")</f>
        <v/>
      </c>
      <c r="K171">
        <f>IFERROR(VLOOKUP(C171, Merchants!$A$2:$D$41, 4, FALSE), "Merchant not found")</f>
        <v/>
      </c>
      <c r="L171">
        <f>HLOOKUP(F171, Fee_Tiers!$B$1:$E$2, 2, FALSE)</f>
        <v/>
      </c>
      <c r="M171">
        <f>IF(AND(E171&gt;5000, K171&lt;&gt;"&gt;East"), "High-Value Merchant Day", "Standard")</f>
        <v/>
      </c>
    </row>
    <row r="172">
      <c r="A172" t="inlineStr">
        <is>
          <t>TXN100170</t>
        </is>
      </c>
      <c r="B172" t="n">
        <v>199</v>
      </c>
      <c r="C172" t="n">
        <v>30</v>
      </c>
      <c r="D172" t="inlineStr">
        <is>
          <t>2026-01-29 17:08:00</t>
        </is>
      </c>
      <c r="E172" t="n">
        <v>149</v>
      </c>
      <c r="F172" t="inlineStr">
        <is>
          <t>Netbanking</t>
        </is>
      </c>
      <c r="G172" t="inlineStr">
        <is>
          <t>captured</t>
        </is>
      </c>
      <c r="H172" t="n">
        <v>47</v>
      </c>
      <c r="I172">
        <f>IFERROR(VLOOKUP(C172, Merchants!$A$2:$D$41, 2, FALSE), "Merchant not found")</f>
        <v/>
      </c>
      <c r="J172">
        <f>IFERROR(VLOOKUP(C172, Merchants!$A$2:$D$41, 3, FALSE), "Merchant not found")</f>
        <v/>
      </c>
      <c r="K172">
        <f>IFERROR(VLOOKUP(C172, Merchants!$A$2:$D$41, 4, FALSE), "Merchant not found")</f>
        <v/>
      </c>
      <c r="L172">
        <f>HLOOKUP(F172, Fee_Tiers!$B$1:$E$2, 2, FALSE)</f>
        <v/>
      </c>
      <c r="M172">
        <f>IF(AND(E172&gt;5000, K172&lt;&gt;"&gt;East"), "High-Value Merchant Day", "Standard")</f>
        <v/>
      </c>
    </row>
    <row r="173">
      <c r="A173" t="inlineStr">
        <is>
          <t>TXN100171</t>
        </is>
      </c>
      <c r="B173" t="n">
        <v>277</v>
      </c>
      <c r="C173" t="n">
        <v>27</v>
      </c>
      <c r="D173" t="inlineStr">
        <is>
          <t>2026-01-22 23:44:00</t>
        </is>
      </c>
      <c r="E173" t="n">
        <v>49</v>
      </c>
      <c r="F173" t="inlineStr">
        <is>
          <t>UPI</t>
        </is>
      </c>
      <c r="G173" t="inlineStr">
        <is>
          <t>captured</t>
        </is>
      </c>
      <c r="H173" t="n">
        <v>75</v>
      </c>
      <c r="I173">
        <f>IFERROR(VLOOKUP(C173, Merchants!$A$2:$D$41, 2, FALSE), "Merchant not found")</f>
        <v/>
      </c>
      <c r="J173">
        <f>IFERROR(VLOOKUP(C173, Merchants!$A$2:$D$41, 3, FALSE), "Merchant not found")</f>
        <v/>
      </c>
      <c r="K173">
        <f>IFERROR(VLOOKUP(C173, Merchants!$A$2:$D$41, 4, FALSE), "Merchant not found")</f>
        <v/>
      </c>
      <c r="L173">
        <f>HLOOKUP(F173, Fee_Tiers!$B$1:$E$2, 2, FALSE)</f>
        <v/>
      </c>
      <c r="M173">
        <f>IF(AND(E173&gt;5000, K173&lt;&gt;"&gt;East"), "High-Value Merchant Day", "Standard")</f>
        <v/>
      </c>
    </row>
    <row r="174">
      <c r="A174" t="inlineStr">
        <is>
          <t>TXN100172</t>
        </is>
      </c>
      <c r="B174" t="n">
        <v>213</v>
      </c>
      <c r="C174" t="n">
        <v>7</v>
      </c>
      <c r="D174" t="inlineStr">
        <is>
          <t>2026-01-24 23:09:00</t>
        </is>
      </c>
      <c r="E174" t="n">
        <v>799</v>
      </c>
      <c r="F174" t="inlineStr">
        <is>
          <t>Netbanking</t>
        </is>
      </c>
      <c r="G174" t="inlineStr">
        <is>
          <t>captured</t>
        </is>
      </c>
      <c r="H174" t="n">
        <v>62</v>
      </c>
      <c r="I174">
        <f>IFERROR(VLOOKUP(C174, Merchants!$A$2:$D$41, 2, FALSE), "Merchant not found")</f>
        <v/>
      </c>
      <c r="J174">
        <f>IFERROR(VLOOKUP(C174, Merchants!$A$2:$D$41, 3, FALSE), "Merchant not found")</f>
        <v/>
      </c>
      <c r="K174">
        <f>IFERROR(VLOOKUP(C174, Merchants!$A$2:$D$41, 4, FALSE), "Merchant not found")</f>
        <v/>
      </c>
      <c r="L174">
        <f>HLOOKUP(F174, Fee_Tiers!$B$1:$E$2, 2, FALSE)</f>
        <v/>
      </c>
      <c r="M174">
        <f>IF(AND(E174&gt;5000, K174&lt;&gt;"&gt;East"), "High-Value Merchant Day", "Standard")</f>
        <v/>
      </c>
    </row>
    <row r="175">
      <c r="A175" t="inlineStr">
        <is>
          <t>TXN100173</t>
        </is>
      </c>
      <c r="B175" t="n">
        <v>17</v>
      </c>
      <c r="C175" t="n">
        <v>24</v>
      </c>
      <c r="D175" t="inlineStr">
        <is>
          <t>2026-01-20 13:17:00</t>
        </is>
      </c>
      <c r="E175" t="n">
        <v>299</v>
      </c>
      <c r="F175" t="inlineStr">
        <is>
          <t>UPI</t>
        </is>
      </c>
      <c r="G175" t="inlineStr">
        <is>
          <t>captured</t>
        </is>
      </c>
      <c r="H175" t="n">
        <v>27</v>
      </c>
      <c r="I175">
        <f>IFERROR(VLOOKUP(C175, Merchants!$A$2:$D$41, 2, FALSE), "Merchant not found")</f>
        <v/>
      </c>
      <c r="J175">
        <f>IFERROR(VLOOKUP(C175, Merchants!$A$2:$D$41, 3, FALSE), "Merchant not found")</f>
        <v/>
      </c>
      <c r="K175">
        <f>IFERROR(VLOOKUP(C175, Merchants!$A$2:$D$41, 4, FALSE), "Merchant not found")</f>
        <v/>
      </c>
      <c r="L175">
        <f>HLOOKUP(F175, Fee_Tiers!$B$1:$E$2, 2, FALSE)</f>
        <v/>
      </c>
      <c r="M175">
        <f>IF(AND(E175&gt;5000, K175&lt;&gt;"&gt;East"), "High-Value Merchant Day", "Standard")</f>
        <v/>
      </c>
    </row>
    <row r="176">
      <c r="A176" t="inlineStr">
        <is>
          <t>TXN100174</t>
        </is>
      </c>
      <c r="B176" t="n">
        <v>186</v>
      </c>
      <c r="C176" t="n">
        <v>7</v>
      </c>
      <c r="D176" t="inlineStr">
        <is>
          <t>2026-01-15 14:15:00</t>
        </is>
      </c>
      <c r="E176" t="n">
        <v>1499</v>
      </c>
      <c r="F176" t="inlineStr">
        <is>
          <t>Card</t>
        </is>
      </c>
      <c r="G176" t="inlineStr">
        <is>
          <t>failed</t>
        </is>
      </c>
      <c r="H176" t="n">
        <v>87</v>
      </c>
      <c r="I176">
        <f>IFERROR(VLOOKUP(C176, Merchants!$A$2:$D$41, 2, FALSE), "Merchant not found")</f>
        <v/>
      </c>
      <c r="J176">
        <f>IFERROR(VLOOKUP(C176, Merchants!$A$2:$D$41, 3, FALSE), "Merchant not found")</f>
        <v/>
      </c>
      <c r="K176">
        <f>IFERROR(VLOOKUP(C176, Merchants!$A$2:$D$41, 4, FALSE), "Merchant not found")</f>
        <v/>
      </c>
      <c r="L176">
        <f>HLOOKUP(F176, Fee_Tiers!$B$1:$E$2, 2, FALSE)</f>
        <v/>
      </c>
      <c r="M176">
        <f>IF(AND(E176&gt;5000, K176&lt;&gt;"&gt;East"), "High-Value Merchant Day", "Standard")</f>
        <v/>
      </c>
    </row>
    <row r="177">
      <c r="A177" t="inlineStr">
        <is>
          <t>TXN100175</t>
        </is>
      </c>
      <c r="B177" t="n">
        <v>331</v>
      </c>
      <c r="C177" t="n">
        <v>23</v>
      </c>
      <c r="D177" t="inlineStr">
        <is>
          <t>2026-01-12 17:57:00</t>
        </is>
      </c>
      <c r="E177" t="n">
        <v>149</v>
      </c>
      <c r="F177" t="inlineStr">
        <is>
          <t>UPI</t>
        </is>
      </c>
      <c r="G177" t="inlineStr">
        <is>
          <t>captured</t>
        </is>
      </c>
      <c r="H177" t="n">
        <v>7</v>
      </c>
      <c r="I177">
        <f>IFERROR(VLOOKUP(C177, Merchants!$A$2:$D$41, 2, FALSE), "Merchant not found")</f>
        <v/>
      </c>
      <c r="J177">
        <f>IFERROR(VLOOKUP(C177, Merchants!$A$2:$D$41, 3, FALSE), "Merchant not found")</f>
        <v/>
      </c>
      <c r="K177">
        <f>IFERROR(VLOOKUP(C177, Merchants!$A$2:$D$41, 4, FALSE), "Merchant not found")</f>
        <v/>
      </c>
      <c r="L177">
        <f>HLOOKUP(F177, Fee_Tiers!$B$1:$E$2, 2, FALSE)</f>
        <v/>
      </c>
      <c r="M177">
        <f>IF(AND(E177&gt;5000, K177&lt;&gt;"&gt;East"), "High-Value Merchant Day", "Standard")</f>
        <v/>
      </c>
    </row>
    <row r="178">
      <c r="A178" t="inlineStr">
        <is>
          <t>TXN100176</t>
        </is>
      </c>
      <c r="B178" t="n">
        <v>63</v>
      </c>
      <c r="C178" t="n">
        <v>30</v>
      </c>
      <c r="D178" t="inlineStr">
        <is>
          <t>2026-01-13 08:12:00</t>
        </is>
      </c>
      <c r="E178" t="n">
        <v>1499</v>
      </c>
      <c r="F178" t="inlineStr">
        <is>
          <t>Card</t>
        </is>
      </c>
      <c r="G178" t="inlineStr">
        <is>
          <t>captured</t>
        </is>
      </c>
      <c r="H178" t="n">
        <v>11</v>
      </c>
      <c r="I178">
        <f>IFERROR(VLOOKUP(C178, Merchants!$A$2:$D$41, 2, FALSE), "Merchant not found")</f>
        <v/>
      </c>
      <c r="J178">
        <f>IFERROR(VLOOKUP(C178, Merchants!$A$2:$D$41, 3, FALSE), "Merchant not found")</f>
        <v/>
      </c>
      <c r="K178">
        <f>IFERROR(VLOOKUP(C178, Merchants!$A$2:$D$41, 4, FALSE), "Merchant not found")</f>
        <v/>
      </c>
      <c r="L178">
        <f>HLOOKUP(F178, Fee_Tiers!$B$1:$E$2, 2, FALSE)</f>
        <v/>
      </c>
      <c r="M178">
        <f>IF(AND(E178&gt;5000, K178&lt;&gt;"&gt;East"), "High-Value Merchant Day", "Standard")</f>
        <v/>
      </c>
    </row>
    <row r="179">
      <c r="A179" t="inlineStr">
        <is>
          <t>TXN100177</t>
        </is>
      </c>
      <c r="B179" t="n">
        <v>328</v>
      </c>
      <c r="C179" t="n">
        <v>39</v>
      </c>
      <c r="D179" t="inlineStr">
        <is>
          <t>2026-01-22 06:41:00</t>
        </is>
      </c>
      <c r="E179" t="n">
        <v>4999</v>
      </c>
      <c r="F179" t="inlineStr">
        <is>
          <t>Wallet</t>
        </is>
      </c>
      <c r="G179" t="inlineStr">
        <is>
          <t>chargeback</t>
        </is>
      </c>
      <c r="H179" t="n">
        <v>2</v>
      </c>
      <c r="I179">
        <f>IFERROR(VLOOKUP(C179, Merchants!$A$2:$D$41, 2, FALSE), "Merchant not found")</f>
        <v/>
      </c>
      <c r="J179">
        <f>IFERROR(VLOOKUP(C179, Merchants!$A$2:$D$41, 3, FALSE), "Merchant not found")</f>
        <v/>
      </c>
      <c r="K179">
        <f>IFERROR(VLOOKUP(C179, Merchants!$A$2:$D$41, 4, FALSE), "Merchant not found")</f>
        <v/>
      </c>
      <c r="L179">
        <f>HLOOKUP(F179, Fee_Tiers!$B$1:$E$2, 2, FALSE)</f>
        <v/>
      </c>
      <c r="M179">
        <f>IF(AND(E179&gt;5000, K179&lt;&gt;"&gt;East"), "High-Value Merchant Day", "Standard")</f>
        <v/>
      </c>
    </row>
    <row r="180">
      <c r="A180" t="inlineStr">
        <is>
          <t>TXN100178</t>
        </is>
      </c>
      <c r="B180" t="n">
        <v>65</v>
      </c>
      <c r="C180" t="n">
        <v>37</v>
      </c>
      <c r="D180" t="inlineStr">
        <is>
          <t>2026-01-02 10:15:00</t>
        </is>
      </c>
      <c r="E180" t="n">
        <v>2999</v>
      </c>
      <c r="F180" t="inlineStr">
        <is>
          <t>Card</t>
        </is>
      </c>
      <c r="G180" t="inlineStr">
        <is>
          <t>captured</t>
        </is>
      </c>
      <c r="H180" t="n">
        <v>26</v>
      </c>
      <c r="I180">
        <f>IFERROR(VLOOKUP(C180, Merchants!$A$2:$D$41, 2, FALSE), "Merchant not found")</f>
        <v/>
      </c>
      <c r="J180">
        <f>IFERROR(VLOOKUP(C180, Merchants!$A$2:$D$41, 3, FALSE), "Merchant not found")</f>
        <v/>
      </c>
      <c r="K180">
        <f>IFERROR(VLOOKUP(C180, Merchants!$A$2:$D$41, 4, FALSE), "Merchant not found")</f>
        <v/>
      </c>
      <c r="L180">
        <f>HLOOKUP(F180, Fee_Tiers!$B$1:$E$2, 2, FALSE)</f>
        <v/>
      </c>
      <c r="M180">
        <f>IF(AND(E180&gt;5000, K180&lt;&gt;"&gt;East"), "High-Value Merchant Day", "Standard")</f>
        <v/>
      </c>
    </row>
    <row r="181">
      <c r="A181" t="inlineStr">
        <is>
          <t>TXN100179</t>
        </is>
      </c>
      <c r="B181" t="n">
        <v>301</v>
      </c>
      <c r="C181" t="n">
        <v>14</v>
      </c>
      <c r="D181" t="inlineStr">
        <is>
          <t>2026-01-03 17:13:00</t>
        </is>
      </c>
      <c r="E181" t="n">
        <v>149</v>
      </c>
      <c r="F181" t="inlineStr">
        <is>
          <t>UPI</t>
        </is>
      </c>
      <c r="G181" t="inlineStr">
        <is>
          <t>captured</t>
        </is>
      </c>
      <c r="H181" t="n">
        <v>29</v>
      </c>
      <c r="I181">
        <f>IFERROR(VLOOKUP(C181, Merchants!$A$2:$D$41, 2, FALSE), "Merchant not found")</f>
        <v/>
      </c>
      <c r="J181">
        <f>IFERROR(VLOOKUP(C181, Merchants!$A$2:$D$41, 3, FALSE), "Merchant not found")</f>
        <v/>
      </c>
      <c r="K181">
        <f>IFERROR(VLOOKUP(C181, Merchants!$A$2:$D$41, 4, FALSE), "Merchant not found")</f>
        <v/>
      </c>
      <c r="L181">
        <f>HLOOKUP(F181, Fee_Tiers!$B$1:$E$2, 2, FALSE)</f>
        <v/>
      </c>
      <c r="M181">
        <f>IF(AND(E181&gt;5000, K181&lt;&gt;"&gt;East"), "High-Value Merchant Day", "Standard")</f>
        <v/>
      </c>
    </row>
    <row r="182">
      <c r="A182" t="inlineStr">
        <is>
          <t>TXN100180</t>
        </is>
      </c>
      <c r="B182" t="n">
        <v>306</v>
      </c>
      <c r="C182" t="n">
        <v>1</v>
      </c>
      <c r="D182" t="inlineStr">
        <is>
          <t>2026-01-11 04:50:00</t>
        </is>
      </c>
      <c r="E182" t="n">
        <v>299</v>
      </c>
      <c r="F182" t="inlineStr">
        <is>
          <t>UPI</t>
        </is>
      </c>
      <c r="G182" t="inlineStr">
        <is>
          <t>failed</t>
        </is>
      </c>
      <c r="H182" t="n">
        <v>35</v>
      </c>
      <c r="I182">
        <f>IFERROR(VLOOKUP(C182, Merchants!$A$2:$D$41, 2, FALSE), "Merchant not found")</f>
        <v/>
      </c>
      <c r="J182">
        <f>IFERROR(VLOOKUP(C182, Merchants!$A$2:$D$41, 3, FALSE), "Merchant not found")</f>
        <v/>
      </c>
      <c r="K182">
        <f>IFERROR(VLOOKUP(C182, Merchants!$A$2:$D$41, 4, FALSE), "Merchant not found")</f>
        <v/>
      </c>
      <c r="L182">
        <f>HLOOKUP(F182, Fee_Tiers!$B$1:$E$2, 2, FALSE)</f>
        <v/>
      </c>
      <c r="M182">
        <f>IF(AND(E182&gt;5000, K182&lt;&gt;"&gt;East"), "High-Value Merchant Day", "Standard")</f>
        <v/>
      </c>
    </row>
    <row r="183">
      <c r="A183" t="inlineStr">
        <is>
          <t>TXN100181</t>
        </is>
      </c>
      <c r="B183" t="n">
        <v>277</v>
      </c>
      <c r="C183" t="n">
        <v>17</v>
      </c>
      <c r="D183" t="inlineStr">
        <is>
          <t>2026-01-28 04:08:00</t>
        </is>
      </c>
      <c r="E183" t="n">
        <v>299</v>
      </c>
      <c r="F183" t="inlineStr">
        <is>
          <t>UPI</t>
        </is>
      </c>
      <c r="G183" t="inlineStr">
        <is>
          <t>captured</t>
        </is>
      </c>
      <c r="H183" t="n">
        <v>22</v>
      </c>
      <c r="I183">
        <f>IFERROR(VLOOKUP(C183, Merchants!$A$2:$D$41, 2, FALSE), "Merchant not found")</f>
        <v/>
      </c>
      <c r="J183">
        <f>IFERROR(VLOOKUP(C183, Merchants!$A$2:$D$41, 3, FALSE), "Merchant not found")</f>
        <v/>
      </c>
      <c r="K183">
        <f>IFERROR(VLOOKUP(C183, Merchants!$A$2:$D$41, 4, FALSE), "Merchant not found")</f>
        <v/>
      </c>
      <c r="L183">
        <f>HLOOKUP(F183, Fee_Tiers!$B$1:$E$2, 2, FALSE)</f>
        <v/>
      </c>
      <c r="M183">
        <f>IF(AND(E183&gt;5000, K183&lt;&gt;"&gt;East"), "High-Value Merchant Day", "Standard")</f>
        <v/>
      </c>
    </row>
    <row r="184">
      <c r="A184" t="inlineStr">
        <is>
          <t>TXN100182</t>
        </is>
      </c>
      <c r="B184" t="n">
        <v>14</v>
      </c>
      <c r="C184" t="n">
        <v>9</v>
      </c>
      <c r="D184" t="inlineStr">
        <is>
          <t>2026-01-04 21:55:00</t>
        </is>
      </c>
      <c r="E184" t="n">
        <v>499</v>
      </c>
      <c r="F184" t="inlineStr">
        <is>
          <t>UPI</t>
        </is>
      </c>
      <c r="G184" t="inlineStr">
        <is>
          <t>captured</t>
        </is>
      </c>
      <c r="H184" t="n">
        <v>1</v>
      </c>
      <c r="I184">
        <f>IFERROR(VLOOKUP(C184, Merchants!$A$2:$D$41, 2, FALSE), "Merchant not found")</f>
        <v/>
      </c>
      <c r="J184">
        <f>IFERROR(VLOOKUP(C184, Merchants!$A$2:$D$41, 3, FALSE), "Merchant not found")</f>
        <v/>
      </c>
      <c r="K184">
        <f>IFERROR(VLOOKUP(C184, Merchants!$A$2:$D$41, 4, FALSE), "Merchant not found")</f>
        <v/>
      </c>
      <c r="L184">
        <f>HLOOKUP(F184, Fee_Tiers!$B$1:$E$2, 2, FALSE)</f>
        <v/>
      </c>
      <c r="M184">
        <f>IF(AND(E184&gt;5000, K184&lt;&gt;"&gt;East"), "High-Value Merchant Day", "Standard")</f>
        <v/>
      </c>
    </row>
    <row r="185">
      <c r="A185" t="inlineStr">
        <is>
          <t>TXN100183</t>
        </is>
      </c>
      <c r="B185" t="n">
        <v>166</v>
      </c>
      <c r="C185" t="n">
        <v>2</v>
      </c>
      <c r="D185" t="inlineStr">
        <is>
          <t>2026-01-12 07:37:00</t>
        </is>
      </c>
      <c r="E185" t="n">
        <v>299</v>
      </c>
      <c r="F185" t="inlineStr">
        <is>
          <t>Card</t>
        </is>
      </c>
      <c r="G185" t="inlineStr">
        <is>
          <t>captured</t>
        </is>
      </c>
      <c r="H185" t="n">
        <v>22</v>
      </c>
      <c r="I185">
        <f>IFERROR(VLOOKUP(C185, Merchants!$A$2:$D$41, 2, FALSE), "Merchant not found")</f>
        <v/>
      </c>
      <c r="J185">
        <f>IFERROR(VLOOKUP(C185, Merchants!$A$2:$D$41, 3, FALSE), "Merchant not found")</f>
        <v/>
      </c>
      <c r="K185">
        <f>IFERROR(VLOOKUP(C185, Merchants!$A$2:$D$41, 4, FALSE), "Merchant not found")</f>
        <v/>
      </c>
      <c r="L185">
        <f>HLOOKUP(F185, Fee_Tiers!$B$1:$E$2, 2, FALSE)</f>
        <v/>
      </c>
      <c r="M185">
        <f>IF(AND(E185&gt;5000, K185&lt;&gt;"&gt;East"), "High-Value Merchant Day", "Standard")</f>
        <v/>
      </c>
    </row>
    <row r="186">
      <c r="A186" t="inlineStr">
        <is>
          <t>TXN100184</t>
        </is>
      </c>
      <c r="B186" t="n">
        <v>216</v>
      </c>
      <c r="C186" t="n">
        <v>34</v>
      </c>
      <c r="D186" t="inlineStr">
        <is>
          <t>2026-01-09 01:08:00</t>
        </is>
      </c>
      <c r="E186" t="n">
        <v>299</v>
      </c>
      <c r="F186" t="inlineStr">
        <is>
          <t>Card</t>
        </is>
      </c>
      <c r="G186" t="inlineStr">
        <is>
          <t>captured</t>
        </is>
      </c>
      <c r="H186" t="n">
        <v>14</v>
      </c>
      <c r="I186">
        <f>IFERROR(VLOOKUP(C186, Merchants!$A$2:$D$41, 2, FALSE), "Merchant not found")</f>
        <v/>
      </c>
      <c r="J186">
        <f>IFERROR(VLOOKUP(C186, Merchants!$A$2:$D$41, 3, FALSE), "Merchant not found")</f>
        <v/>
      </c>
      <c r="K186">
        <f>IFERROR(VLOOKUP(C186, Merchants!$A$2:$D$41, 4, FALSE), "Merchant not found")</f>
        <v/>
      </c>
      <c r="L186">
        <f>HLOOKUP(F186, Fee_Tiers!$B$1:$E$2, 2, FALSE)</f>
        <v/>
      </c>
      <c r="M186">
        <f>IF(AND(E186&gt;5000, K186&lt;&gt;"&gt;East"), "High-Value Merchant Day", "Standard")</f>
        <v/>
      </c>
    </row>
    <row r="187">
      <c r="A187" t="inlineStr">
        <is>
          <t>TXN100185</t>
        </is>
      </c>
      <c r="B187" t="n">
        <v>230</v>
      </c>
      <c r="C187" t="n">
        <v>24</v>
      </c>
      <c r="D187" t="inlineStr">
        <is>
          <t>2026-01-24 02:30:00</t>
        </is>
      </c>
      <c r="E187" t="n">
        <v>49</v>
      </c>
      <c r="F187" t="inlineStr">
        <is>
          <t>UPI</t>
        </is>
      </c>
      <c r="G187" t="inlineStr">
        <is>
          <t>captured</t>
        </is>
      </c>
      <c r="H187" t="n">
        <v>65</v>
      </c>
      <c r="I187">
        <f>IFERROR(VLOOKUP(C187, Merchants!$A$2:$D$41, 2, FALSE), "Merchant not found")</f>
        <v/>
      </c>
      <c r="J187">
        <f>IFERROR(VLOOKUP(C187, Merchants!$A$2:$D$41, 3, FALSE), "Merchant not found")</f>
        <v/>
      </c>
      <c r="K187">
        <f>IFERROR(VLOOKUP(C187, Merchants!$A$2:$D$41, 4, FALSE), "Merchant not found")</f>
        <v/>
      </c>
      <c r="L187">
        <f>HLOOKUP(F187, Fee_Tiers!$B$1:$E$2, 2, FALSE)</f>
        <v/>
      </c>
      <c r="M187">
        <f>IF(AND(E187&gt;5000, K187&lt;&gt;"&gt;East"), "High-Value Merchant Day", "Standard")</f>
        <v/>
      </c>
    </row>
    <row r="188">
      <c r="A188" t="inlineStr">
        <is>
          <t>TXN100186</t>
        </is>
      </c>
      <c r="B188" t="n">
        <v>258</v>
      </c>
      <c r="C188" t="n">
        <v>15</v>
      </c>
      <c r="D188" t="inlineStr">
        <is>
          <t>2026-01-19 03:28:00</t>
        </is>
      </c>
      <c r="E188" t="n">
        <v>499</v>
      </c>
      <c r="F188" t="inlineStr">
        <is>
          <t>Wallet</t>
        </is>
      </c>
      <c r="G188" t="inlineStr">
        <is>
          <t>captured</t>
        </is>
      </c>
      <c r="H188" t="n">
        <v>78</v>
      </c>
      <c r="I188">
        <f>IFERROR(VLOOKUP(C188, Merchants!$A$2:$D$41, 2, FALSE), "Merchant not found")</f>
        <v/>
      </c>
      <c r="J188">
        <f>IFERROR(VLOOKUP(C188, Merchants!$A$2:$D$41, 3, FALSE), "Merchant not found")</f>
        <v/>
      </c>
      <c r="K188">
        <f>IFERROR(VLOOKUP(C188, Merchants!$A$2:$D$41, 4, FALSE), "Merchant not found")</f>
        <v/>
      </c>
      <c r="L188">
        <f>HLOOKUP(F188, Fee_Tiers!$B$1:$E$2, 2, FALSE)</f>
        <v/>
      </c>
      <c r="M188">
        <f>IF(AND(E188&gt;5000, K188&lt;&gt;"&gt;East"), "High-Value Merchant Day", "Standard")</f>
        <v/>
      </c>
    </row>
    <row r="189">
      <c r="A189" t="inlineStr">
        <is>
          <t>TXN100187</t>
        </is>
      </c>
      <c r="B189" t="n">
        <v>338</v>
      </c>
      <c r="C189" t="n">
        <v>34</v>
      </c>
      <c r="D189" t="inlineStr">
        <is>
          <t>2026-01-02 23:50:00</t>
        </is>
      </c>
      <c r="E189" t="n">
        <v>49</v>
      </c>
      <c r="F189" t="inlineStr">
        <is>
          <t>UPI</t>
        </is>
      </c>
      <c r="G189" t="inlineStr">
        <is>
          <t>captured</t>
        </is>
      </c>
      <c r="H189" t="n">
        <v>38</v>
      </c>
      <c r="I189">
        <f>IFERROR(VLOOKUP(C189, Merchants!$A$2:$D$41, 2, FALSE), "Merchant not found")</f>
        <v/>
      </c>
      <c r="J189">
        <f>IFERROR(VLOOKUP(C189, Merchants!$A$2:$D$41, 3, FALSE), "Merchant not found")</f>
        <v/>
      </c>
      <c r="K189">
        <f>IFERROR(VLOOKUP(C189, Merchants!$A$2:$D$41, 4, FALSE), "Merchant not found")</f>
        <v/>
      </c>
      <c r="L189">
        <f>HLOOKUP(F189, Fee_Tiers!$B$1:$E$2, 2, FALSE)</f>
        <v/>
      </c>
      <c r="M189">
        <f>IF(AND(E189&gt;5000, K189&lt;&gt;"&gt;East"), "High-Value Merchant Day", "Standard")</f>
        <v/>
      </c>
    </row>
    <row r="190">
      <c r="A190" t="inlineStr">
        <is>
          <t>TXN100188</t>
        </is>
      </c>
      <c r="B190" t="n">
        <v>32</v>
      </c>
      <c r="C190" t="n">
        <v>31</v>
      </c>
      <c r="D190" t="inlineStr">
        <is>
          <t>2026-01-15 20:01:00</t>
        </is>
      </c>
      <c r="E190" t="n">
        <v>299</v>
      </c>
      <c r="F190" t="inlineStr">
        <is>
          <t>UPI</t>
        </is>
      </c>
      <c r="G190" t="inlineStr">
        <is>
          <t>captured</t>
        </is>
      </c>
      <c r="H190" t="n">
        <v>51</v>
      </c>
      <c r="I190">
        <f>IFERROR(VLOOKUP(C190, Merchants!$A$2:$D$41, 2, FALSE), "Merchant not found")</f>
        <v/>
      </c>
      <c r="J190">
        <f>IFERROR(VLOOKUP(C190, Merchants!$A$2:$D$41, 3, FALSE), "Merchant not found")</f>
        <v/>
      </c>
      <c r="K190">
        <f>IFERROR(VLOOKUP(C190, Merchants!$A$2:$D$41, 4, FALSE), "Merchant not found")</f>
        <v/>
      </c>
      <c r="L190">
        <f>HLOOKUP(F190, Fee_Tiers!$B$1:$E$2, 2, FALSE)</f>
        <v/>
      </c>
      <c r="M190">
        <f>IF(AND(E190&gt;5000, K190&lt;&gt;"&gt;East"), "High-Value Merchant Day", "Standard")</f>
        <v/>
      </c>
    </row>
    <row r="191">
      <c r="A191" t="inlineStr">
        <is>
          <t>TXN100189</t>
        </is>
      </c>
      <c r="B191" t="n">
        <v>252</v>
      </c>
      <c r="C191" t="n">
        <v>29</v>
      </c>
      <c r="D191" t="inlineStr">
        <is>
          <t>2026-01-14 21:06:00</t>
        </is>
      </c>
      <c r="E191" t="n">
        <v>1499</v>
      </c>
      <c r="F191" t="inlineStr">
        <is>
          <t>UPI</t>
        </is>
      </c>
      <c r="G191" t="inlineStr">
        <is>
          <t>captured</t>
        </is>
      </c>
      <c r="H191" t="n">
        <v>9</v>
      </c>
      <c r="I191">
        <f>IFERROR(VLOOKUP(C191, Merchants!$A$2:$D$41, 2, FALSE), "Merchant not found")</f>
        <v/>
      </c>
      <c r="J191">
        <f>IFERROR(VLOOKUP(C191, Merchants!$A$2:$D$41, 3, FALSE), "Merchant not found")</f>
        <v/>
      </c>
      <c r="K191">
        <f>IFERROR(VLOOKUP(C191, Merchants!$A$2:$D$41, 4, FALSE), "Merchant not found")</f>
        <v/>
      </c>
      <c r="L191">
        <f>HLOOKUP(F191, Fee_Tiers!$B$1:$E$2, 2, FALSE)</f>
        <v/>
      </c>
      <c r="M191">
        <f>IF(AND(E191&gt;5000, K191&lt;&gt;"&gt;East"), "High-Value Merchant Day", "Standard")</f>
        <v/>
      </c>
    </row>
    <row r="192">
      <c r="A192" t="inlineStr">
        <is>
          <t>TXN100190</t>
        </is>
      </c>
      <c r="B192" t="n">
        <v>312</v>
      </c>
      <c r="C192" t="n">
        <v>10</v>
      </c>
      <c r="D192" t="inlineStr">
        <is>
          <t>2026-01-29 02:20:00</t>
        </is>
      </c>
      <c r="E192" t="n">
        <v>799</v>
      </c>
      <c r="F192" t="inlineStr">
        <is>
          <t>UPI</t>
        </is>
      </c>
      <c r="G192" t="inlineStr">
        <is>
          <t>captured</t>
        </is>
      </c>
      <c r="H192" t="n">
        <v>8</v>
      </c>
      <c r="I192">
        <f>IFERROR(VLOOKUP(C192, Merchants!$A$2:$D$41, 2, FALSE), "Merchant not found")</f>
        <v/>
      </c>
      <c r="J192">
        <f>IFERROR(VLOOKUP(C192, Merchants!$A$2:$D$41, 3, FALSE), "Merchant not found")</f>
        <v/>
      </c>
      <c r="K192">
        <f>IFERROR(VLOOKUP(C192, Merchants!$A$2:$D$41, 4, FALSE), "Merchant not found")</f>
        <v/>
      </c>
      <c r="L192">
        <f>HLOOKUP(F192, Fee_Tiers!$B$1:$E$2, 2, FALSE)</f>
        <v/>
      </c>
      <c r="M192">
        <f>IF(AND(E192&gt;5000, K192&lt;&gt;"&gt;East"), "High-Value Merchant Day", "Standard")</f>
        <v/>
      </c>
    </row>
    <row r="193">
      <c r="A193" t="inlineStr">
        <is>
          <t>TXN100191</t>
        </is>
      </c>
      <c r="B193" t="n">
        <v>325</v>
      </c>
      <c r="C193" t="n">
        <v>38</v>
      </c>
      <c r="D193" t="inlineStr">
        <is>
          <t>2026-01-05 08:39:00</t>
        </is>
      </c>
      <c r="E193" t="n">
        <v>1499</v>
      </c>
      <c r="F193" t="inlineStr">
        <is>
          <t>Netbanking</t>
        </is>
      </c>
      <c r="G193" t="inlineStr">
        <is>
          <t>captured</t>
        </is>
      </c>
      <c r="H193" t="n">
        <v>70</v>
      </c>
      <c r="I193">
        <f>IFERROR(VLOOKUP(C193, Merchants!$A$2:$D$41, 2, FALSE), "Merchant not found")</f>
        <v/>
      </c>
      <c r="J193">
        <f>IFERROR(VLOOKUP(C193, Merchants!$A$2:$D$41, 3, FALSE), "Merchant not found")</f>
        <v/>
      </c>
      <c r="K193">
        <f>IFERROR(VLOOKUP(C193, Merchants!$A$2:$D$41, 4, FALSE), "Merchant not found")</f>
        <v/>
      </c>
      <c r="L193">
        <f>HLOOKUP(F193, Fee_Tiers!$B$1:$E$2, 2, FALSE)</f>
        <v/>
      </c>
      <c r="M193">
        <f>IF(AND(E193&gt;5000, K193&lt;&gt;"&gt;East"), "High-Value Merchant Day", "Standard")</f>
        <v/>
      </c>
    </row>
    <row r="194">
      <c r="A194" t="inlineStr">
        <is>
          <t>TXN100192</t>
        </is>
      </c>
      <c r="B194" t="n">
        <v>306</v>
      </c>
      <c r="C194" t="n">
        <v>34</v>
      </c>
      <c r="D194" t="inlineStr">
        <is>
          <t>2026-01-23 10:24:00</t>
        </is>
      </c>
      <c r="E194" t="n">
        <v>2999</v>
      </c>
      <c r="F194" t="inlineStr">
        <is>
          <t>UPI</t>
        </is>
      </c>
      <c r="G194" t="inlineStr">
        <is>
          <t>captured</t>
        </is>
      </c>
      <c r="H194" t="n">
        <v>37</v>
      </c>
      <c r="I194">
        <f>IFERROR(VLOOKUP(C194, Merchants!$A$2:$D$41, 2, FALSE), "Merchant not found")</f>
        <v/>
      </c>
      <c r="J194">
        <f>IFERROR(VLOOKUP(C194, Merchants!$A$2:$D$41, 3, FALSE), "Merchant not found")</f>
        <v/>
      </c>
      <c r="K194">
        <f>IFERROR(VLOOKUP(C194, Merchants!$A$2:$D$41, 4, FALSE), "Merchant not found")</f>
        <v/>
      </c>
      <c r="L194">
        <f>HLOOKUP(F194, Fee_Tiers!$B$1:$E$2, 2, FALSE)</f>
        <v/>
      </c>
      <c r="M194">
        <f>IF(AND(E194&gt;5000, K194&lt;&gt;"&gt;East"), "High-Value Merchant Day", "Standard")</f>
        <v/>
      </c>
    </row>
    <row r="195">
      <c r="A195" t="inlineStr">
        <is>
          <t>TXN100193</t>
        </is>
      </c>
      <c r="B195" t="n">
        <v>221</v>
      </c>
      <c r="C195" t="n">
        <v>7</v>
      </c>
      <c r="D195" t="inlineStr">
        <is>
          <t>2026-01-15 16:38:00</t>
        </is>
      </c>
      <c r="E195" t="n">
        <v>149</v>
      </c>
      <c r="F195" t="inlineStr">
        <is>
          <t>Netbanking</t>
        </is>
      </c>
      <c r="G195" t="inlineStr">
        <is>
          <t>captured</t>
        </is>
      </c>
      <c r="H195" t="n">
        <v>89</v>
      </c>
      <c r="I195">
        <f>IFERROR(VLOOKUP(C195, Merchants!$A$2:$D$41, 2, FALSE), "Merchant not found")</f>
        <v/>
      </c>
      <c r="J195">
        <f>IFERROR(VLOOKUP(C195, Merchants!$A$2:$D$41, 3, FALSE), "Merchant not found")</f>
        <v/>
      </c>
      <c r="K195">
        <f>IFERROR(VLOOKUP(C195, Merchants!$A$2:$D$41, 4, FALSE), "Merchant not found")</f>
        <v/>
      </c>
      <c r="L195">
        <f>HLOOKUP(F195, Fee_Tiers!$B$1:$E$2, 2, FALSE)</f>
        <v/>
      </c>
      <c r="M195">
        <f>IF(AND(E195&gt;5000, K195&lt;&gt;"&gt;East"), "High-Value Merchant Day", "Standard")</f>
        <v/>
      </c>
    </row>
    <row r="196">
      <c r="A196" t="inlineStr">
        <is>
          <t>TXN100194</t>
        </is>
      </c>
      <c r="B196" t="n">
        <v>283</v>
      </c>
      <c r="C196" t="n">
        <v>14</v>
      </c>
      <c r="D196" t="inlineStr">
        <is>
          <t>2026-01-04 20:41:00</t>
        </is>
      </c>
      <c r="E196" t="n">
        <v>99</v>
      </c>
      <c r="F196" t="inlineStr">
        <is>
          <t>Wallet</t>
        </is>
      </c>
      <c r="G196" t="inlineStr">
        <is>
          <t>captured</t>
        </is>
      </c>
      <c r="H196" t="n">
        <v>55</v>
      </c>
      <c r="I196">
        <f>IFERROR(VLOOKUP(C196, Merchants!$A$2:$D$41, 2, FALSE), "Merchant not found")</f>
        <v/>
      </c>
      <c r="J196">
        <f>IFERROR(VLOOKUP(C196, Merchants!$A$2:$D$41, 3, FALSE), "Merchant not found")</f>
        <v/>
      </c>
      <c r="K196">
        <f>IFERROR(VLOOKUP(C196, Merchants!$A$2:$D$41, 4, FALSE), "Merchant not found")</f>
        <v/>
      </c>
      <c r="L196">
        <f>HLOOKUP(F196, Fee_Tiers!$B$1:$E$2, 2, FALSE)</f>
        <v/>
      </c>
      <c r="M196">
        <f>IF(AND(E196&gt;5000, K196&lt;&gt;"&gt;East"), "High-Value Merchant Day", "Standard")</f>
        <v/>
      </c>
    </row>
    <row r="197">
      <c r="A197" t="inlineStr">
        <is>
          <t>TXN100195</t>
        </is>
      </c>
      <c r="B197" t="n">
        <v>174</v>
      </c>
      <c r="C197" t="n">
        <v>30</v>
      </c>
      <c r="D197" t="inlineStr">
        <is>
          <t>2026-01-15 07:26:00</t>
        </is>
      </c>
      <c r="E197" t="n">
        <v>49</v>
      </c>
      <c r="F197" t="inlineStr">
        <is>
          <t>UPI</t>
        </is>
      </c>
      <c r="G197" t="inlineStr">
        <is>
          <t>captured</t>
        </is>
      </c>
      <c r="H197" t="n">
        <v>51</v>
      </c>
      <c r="I197">
        <f>IFERROR(VLOOKUP(C197, Merchants!$A$2:$D$41, 2, FALSE), "Merchant not found")</f>
        <v/>
      </c>
      <c r="J197">
        <f>IFERROR(VLOOKUP(C197, Merchants!$A$2:$D$41, 3, FALSE), "Merchant not found")</f>
        <v/>
      </c>
      <c r="K197">
        <f>IFERROR(VLOOKUP(C197, Merchants!$A$2:$D$41, 4, FALSE), "Merchant not found")</f>
        <v/>
      </c>
      <c r="L197">
        <f>HLOOKUP(F197, Fee_Tiers!$B$1:$E$2, 2, FALSE)</f>
        <v/>
      </c>
      <c r="M197">
        <f>IF(AND(E197&gt;5000, K197&lt;&gt;"&gt;East"), "High-Value Merchant Day", "Standard")</f>
        <v/>
      </c>
    </row>
    <row r="198">
      <c r="A198" t="inlineStr">
        <is>
          <t>TXN100196</t>
        </is>
      </c>
      <c r="B198" t="n">
        <v>161</v>
      </c>
      <c r="C198" t="n">
        <v>28</v>
      </c>
      <c r="D198" t="inlineStr">
        <is>
          <t>2026-01-14 23:06:00</t>
        </is>
      </c>
      <c r="E198" t="n">
        <v>49</v>
      </c>
      <c r="F198" t="inlineStr">
        <is>
          <t>UPI</t>
        </is>
      </c>
      <c r="G198" t="inlineStr">
        <is>
          <t>captured</t>
        </is>
      </c>
      <c r="H198" t="n">
        <v>40</v>
      </c>
      <c r="I198">
        <f>IFERROR(VLOOKUP(C198, Merchants!$A$2:$D$41, 2, FALSE), "Merchant not found")</f>
        <v/>
      </c>
      <c r="J198">
        <f>IFERROR(VLOOKUP(C198, Merchants!$A$2:$D$41, 3, FALSE), "Merchant not found")</f>
        <v/>
      </c>
      <c r="K198">
        <f>IFERROR(VLOOKUP(C198, Merchants!$A$2:$D$41, 4, FALSE), "Merchant not found")</f>
        <v/>
      </c>
      <c r="L198">
        <f>HLOOKUP(F198, Fee_Tiers!$B$1:$E$2, 2, FALSE)</f>
        <v/>
      </c>
      <c r="M198">
        <f>IF(AND(E198&gt;5000, K198&lt;&gt;"&gt;East"), "High-Value Merchant Day", "Standard")</f>
        <v/>
      </c>
    </row>
    <row r="199">
      <c r="A199" t="inlineStr">
        <is>
          <t>TXN100197</t>
        </is>
      </c>
      <c r="B199" t="n">
        <v>79</v>
      </c>
      <c r="C199" t="n">
        <v>31</v>
      </c>
      <c r="D199" t="inlineStr">
        <is>
          <t>2026-01-22 08:23:00</t>
        </is>
      </c>
      <c r="E199" t="n">
        <v>99</v>
      </c>
      <c r="F199" t="inlineStr">
        <is>
          <t>UPI</t>
        </is>
      </c>
      <c r="G199" t="inlineStr">
        <is>
          <t>captured</t>
        </is>
      </c>
      <c r="H199" t="n">
        <v>8</v>
      </c>
      <c r="I199">
        <f>IFERROR(VLOOKUP(C199, Merchants!$A$2:$D$41, 2, FALSE), "Merchant not found")</f>
        <v/>
      </c>
      <c r="J199">
        <f>IFERROR(VLOOKUP(C199, Merchants!$A$2:$D$41, 3, FALSE), "Merchant not found")</f>
        <v/>
      </c>
      <c r="K199">
        <f>IFERROR(VLOOKUP(C199, Merchants!$A$2:$D$41, 4, FALSE), "Merchant not found")</f>
        <v/>
      </c>
      <c r="L199">
        <f>HLOOKUP(F199, Fee_Tiers!$B$1:$E$2, 2, FALSE)</f>
        <v/>
      </c>
      <c r="M199">
        <f>IF(AND(E199&gt;5000, K199&lt;&gt;"&gt;East"), "High-Value Merchant Day", "Standard")</f>
        <v/>
      </c>
    </row>
    <row r="200">
      <c r="A200" t="inlineStr">
        <is>
          <t>TXN100198</t>
        </is>
      </c>
      <c r="B200" t="n">
        <v>222</v>
      </c>
      <c r="C200" t="n">
        <v>7</v>
      </c>
      <c r="D200" t="inlineStr">
        <is>
          <t>2026-01-03 02:05:00</t>
        </is>
      </c>
      <c r="E200" t="n">
        <v>149</v>
      </c>
      <c r="F200" t="inlineStr">
        <is>
          <t>Wallet</t>
        </is>
      </c>
      <c r="G200" t="inlineStr">
        <is>
          <t>captured</t>
        </is>
      </c>
      <c r="H200" t="n">
        <v>95</v>
      </c>
      <c r="I200">
        <f>IFERROR(VLOOKUP(C200, Merchants!$A$2:$D$41, 2, FALSE), "Merchant not found")</f>
        <v/>
      </c>
      <c r="J200">
        <f>IFERROR(VLOOKUP(C200, Merchants!$A$2:$D$41, 3, FALSE), "Merchant not found")</f>
        <v/>
      </c>
      <c r="K200">
        <f>IFERROR(VLOOKUP(C200, Merchants!$A$2:$D$41, 4, FALSE), "Merchant not found")</f>
        <v/>
      </c>
      <c r="L200">
        <f>HLOOKUP(F200, Fee_Tiers!$B$1:$E$2, 2, FALSE)</f>
        <v/>
      </c>
      <c r="M200">
        <f>IF(AND(E200&gt;5000, K200&lt;&gt;"&gt;East"), "High-Value Merchant Day", "Standard")</f>
        <v/>
      </c>
    </row>
    <row r="201">
      <c r="A201" t="inlineStr">
        <is>
          <t>TXN100199</t>
        </is>
      </c>
      <c r="B201" t="n">
        <v>67</v>
      </c>
      <c r="C201" t="n">
        <v>36</v>
      </c>
      <c r="D201" t="inlineStr">
        <is>
          <t>2026-01-24 11:51:00</t>
        </is>
      </c>
      <c r="E201" t="n">
        <v>99</v>
      </c>
      <c r="F201" t="inlineStr">
        <is>
          <t>UPI</t>
        </is>
      </c>
      <c r="G201" t="inlineStr">
        <is>
          <t>captured</t>
        </is>
      </c>
      <c r="H201" t="n">
        <v>7</v>
      </c>
      <c r="I201">
        <f>IFERROR(VLOOKUP(C201, Merchants!$A$2:$D$41, 2, FALSE), "Merchant not found")</f>
        <v/>
      </c>
      <c r="J201">
        <f>IFERROR(VLOOKUP(C201, Merchants!$A$2:$D$41, 3, FALSE), "Merchant not found")</f>
        <v/>
      </c>
      <c r="K201">
        <f>IFERROR(VLOOKUP(C201, Merchants!$A$2:$D$41, 4, FALSE), "Merchant not found")</f>
        <v/>
      </c>
      <c r="L201">
        <f>HLOOKUP(F201, Fee_Tiers!$B$1:$E$2, 2, FALSE)</f>
        <v/>
      </c>
      <c r="M201">
        <f>IF(AND(E201&gt;5000, K201&lt;&gt;"&gt;East"), "High-Value Merchant Day", "Standard")</f>
        <v/>
      </c>
    </row>
    <row r="202">
      <c r="A202" t="inlineStr">
        <is>
          <t>TXN100200</t>
        </is>
      </c>
      <c r="B202" t="n">
        <v>169</v>
      </c>
      <c r="C202" t="n">
        <v>8</v>
      </c>
      <c r="D202" t="inlineStr">
        <is>
          <t>2026-01-19 17:35:00</t>
        </is>
      </c>
      <c r="E202" t="n">
        <v>99</v>
      </c>
      <c r="F202" t="inlineStr">
        <is>
          <t>UPI</t>
        </is>
      </c>
      <c r="G202" t="inlineStr">
        <is>
          <t>captured</t>
        </is>
      </c>
      <c r="H202" t="n">
        <v>52</v>
      </c>
      <c r="I202">
        <f>IFERROR(VLOOKUP(C202, Merchants!$A$2:$D$41, 2, FALSE), "Merchant not found")</f>
        <v/>
      </c>
      <c r="J202">
        <f>IFERROR(VLOOKUP(C202, Merchants!$A$2:$D$41, 3, FALSE), "Merchant not found")</f>
        <v/>
      </c>
      <c r="K202">
        <f>IFERROR(VLOOKUP(C202, Merchants!$A$2:$D$41, 4, FALSE), "Merchant not found")</f>
        <v/>
      </c>
      <c r="L202">
        <f>HLOOKUP(F202, Fee_Tiers!$B$1:$E$2, 2, FALSE)</f>
        <v/>
      </c>
      <c r="M202">
        <f>IF(AND(E202&gt;5000, K202&lt;&gt;"&gt;East"), "High-Value Merchant Day", "Standard")</f>
        <v/>
      </c>
    </row>
    <row r="203">
      <c r="A203" t="inlineStr">
        <is>
          <t>TXN100201</t>
        </is>
      </c>
      <c r="B203" t="n">
        <v>217</v>
      </c>
      <c r="C203" t="n">
        <v>4</v>
      </c>
      <c r="D203" t="inlineStr">
        <is>
          <t>2026-01-12 21:48:00</t>
        </is>
      </c>
      <c r="E203" t="n">
        <v>49</v>
      </c>
      <c r="F203" t="inlineStr">
        <is>
          <t>UPI</t>
        </is>
      </c>
      <c r="G203" t="inlineStr">
        <is>
          <t>captured</t>
        </is>
      </c>
      <c r="H203" t="n">
        <v>36</v>
      </c>
      <c r="I203">
        <f>IFERROR(VLOOKUP(C203, Merchants!$A$2:$D$41, 2, FALSE), "Merchant not found")</f>
        <v/>
      </c>
      <c r="J203">
        <f>IFERROR(VLOOKUP(C203, Merchants!$A$2:$D$41, 3, FALSE), "Merchant not found")</f>
        <v/>
      </c>
      <c r="K203">
        <f>IFERROR(VLOOKUP(C203, Merchants!$A$2:$D$41, 4, FALSE), "Merchant not found")</f>
        <v/>
      </c>
      <c r="L203">
        <f>HLOOKUP(F203, Fee_Tiers!$B$1:$E$2, 2, FALSE)</f>
        <v/>
      </c>
      <c r="M203">
        <f>IF(AND(E203&gt;5000, K203&lt;&gt;"&gt;East"), "High-Value Merchant Day", "Standard")</f>
        <v/>
      </c>
    </row>
    <row r="204">
      <c r="A204" t="inlineStr">
        <is>
          <t>TXN100202</t>
        </is>
      </c>
      <c r="B204" t="n">
        <v>54</v>
      </c>
      <c r="C204" t="n">
        <v>37</v>
      </c>
      <c r="D204" t="inlineStr">
        <is>
          <t>2026-01-20 09:22:00</t>
        </is>
      </c>
      <c r="E204" t="n">
        <v>149</v>
      </c>
      <c r="F204" t="inlineStr">
        <is>
          <t>UPI</t>
        </is>
      </c>
      <c r="G204" t="inlineStr">
        <is>
          <t>captured</t>
        </is>
      </c>
      <c r="H204" t="n">
        <v>64</v>
      </c>
      <c r="I204">
        <f>IFERROR(VLOOKUP(C204, Merchants!$A$2:$D$41, 2, FALSE), "Merchant not found")</f>
        <v/>
      </c>
      <c r="J204">
        <f>IFERROR(VLOOKUP(C204, Merchants!$A$2:$D$41, 3, FALSE), "Merchant not found")</f>
        <v/>
      </c>
      <c r="K204">
        <f>IFERROR(VLOOKUP(C204, Merchants!$A$2:$D$41, 4, FALSE), "Merchant not found")</f>
        <v/>
      </c>
      <c r="L204">
        <f>HLOOKUP(F204, Fee_Tiers!$B$1:$E$2, 2, FALSE)</f>
        <v/>
      </c>
      <c r="M204">
        <f>IF(AND(E204&gt;5000, K204&lt;&gt;"&gt;East"), "High-Value Merchant Day", "Standard")</f>
        <v/>
      </c>
    </row>
    <row r="205">
      <c r="A205" t="inlineStr">
        <is>
          <t>TXN100203</t>
        </is>
      </c>
      <c r="B205" t="n">
        <v>247</v>
      </c>
      <c r="C205" t="n">
        <v>15</v>
      </c>
      <c r="D205" t="inlineStr">
        <is>
          <t>2026-01-07 04:42:00</t>
        </is>
      </c>
      <c r="E205" t="n">
        <v>49</v>
      </c>
      <c r="F205" t="inlineStr">
        <is>
          <t>Card</t>
        </is>
      </c>
      <c r="G205" t="inlineStr">
        <is>
          <t>captured</t>
        </is>
      </c>
      <c r="H205" t="n">
        <v>13</v>
      </c>
      <c r="I205">
        <f>IFERROR(VLOOKUP(C205, Merchants!$A$2:$D$41, 2, FALSE), "Merchant not found")</f>
        <v/>
      </c>
      <c r="J205">
        <f>IFERROR(VLOOKUP(C205, Merchants!$A$2:$D$41, 3, FALSE), "Merchant not found")</f>
        <v/>
      </c>
      <c r="K205">
        <f>IFERROR(VLOOKUP(C205, Merchants!$A$2:$D$41, 4, FALSE), "Merchant not found")</f>
        <v/>
      </c>
      <c r="L205">
        <f>HLOOKUP(F205, Fee_Tiers!$B$1:$E$2, 2, FALSE)</f>
        <v/>
      </c>
      <c r="M205">
        <f>IF(AND(E205&gt;5000, K205&lt;&gt;"&gt;East"), "High-Value Merchant Day", "Standard")</f>
        <v/>
      </c>
    </row>
    <row r="206">
      <c r="A206" t="inlineStr">
        <is>
          <t>TXN100204</t>
        </is>
      </c>
      <c r="B206" t="n">
        <v>59</v>
      </c>
      <c r="C206" t="n">
        <v>18</v>
      </c>
      <c r="D206" t="inlineStr">
        <is>
          <t>2026-01-12 17:23:00</t>
        </is>
      </c>
      <c r="E206" t="n">
        <v>49</v>
      </c>
      <c r="F206" t="inlineStr">
        <is>
          <t>Card</t>
        </is>
      </c>
      <c r="G206" t="inlineStr">
        <is>
          <t>captured</t>
        </is>
      </c>
      <c r="H206" t="n">
        <v>73</v>
      </c>
      <c r="I206">
        <f>IFERROR(VLOOKUP(C206, Merchants!$A$2:$D$41, 2, FALSE), "Merchant not found")</f>
        <v/>
      </c>
      <c r="J206">
        <f>IFERROR(VLOOKUP(C206, Merchants!$A$2:$D$41, 3, FALSE), "Merchant not found")</f>
        <v/>
      </c>
      <c r="K206">
        <f>IFERROR(VLOOKUP(C206, Merchants!$A$2:$D$41, 4, FALSE), "Merchant not found")</f>
        <v/>
      </c>
      <c r="L206">
        <f>HLOOKUP(F206, Fee_Tiers!$B$1:$E$2, 2, FALSE)</f>
        <v/>
      </c>
      <c r="M206">
        <f>IF(AND(E206&gt;5000, K206&lt;&gt;"&gt;East"), "High-Value Merchant Day", "Standard")</f>
        <v/>
      </c>
    </row>
    <row r="207">
      <c r="A207" t="inlineStr">
        <is>
          <t>TXN100205</t>
        </is>
      </c>
      <c r="B207" t="n">
        <v>288</v>
      </c>
      <c r="C207" t="n">
        <v>40</v>
      </c>
      <c r="D207" t="inlineStr">
        <is>
          <t>2026-01-08 13:54:00</t>
        </is>
      </c>
      <c r="E207" t="n">
        <v>49</v>
      </c>
      <c r="F207" t="inlineStr">
        <is>
          <t>UPI</t>
        </is>
      </c>
      <c r="G207" t="inlineStr">
        <is>
          <t>failed</t>
        </is>
      </c>
      <c r="H207" t="n">
        <v>78</v>
      </c>
      <c r="I207">
        <f>IFERROR(VLOOKUP(C207, Merchants!$A$2:$D$41, 2, FALSE), "Merchant not found")</f>
        <v/>
      </c>
      <c r="J207">
        <f>IFERROR(VLOOKUP(C207, Merchants!$A$2:$D$41, 3, FALSE), "Merchant not found")</f>
        <v/>
      </c>
      <c r="K207">
        <f>IFERROR(VLOOKUP(C207, Merchants!$A$2:$D$41, 4, FALSE), "Merchant not found")</f>
        <v/>
      </c>
      <c r="L207">
        <f>HLOOKUP(F207, Fee_Tiers!$B$1:$E$2, 2, FALSE)</f>
        <v/>
      </c>
      <c r="M207">
        <f>IF(AND(E207&gt;5000, K207&lt;&gt;"&gt;East"), "High-Value Merchant Day", "Standard")</f>
        <v/>
      </c>
    </row>
    <row r="208">
      <c r="A208" t="inlineStr">
        <is>
          <t>TXN100206</t>
        </is>
      </c>
      <c r="B208" t="n">
        <v>14</v>
      </c>
      <c r="C208" t="n">
        <v>39</v>
      </c>
      <c r="D208" t="inlineStr">
        <is>
          <t>2026-01-22 20:35:00</t>
        </is>
      </c>
      <c r="E208" t="n">
        <v>799</v>
      </c>
      <c r="F208" t="inlineStr">
        <is>
          <t>UPI</t>
        </is>
      </c>
      <c r="G208" t="inlineStr">
        <is>
          <t>captured</t>
        </is>
      </c>
      <c r="H208" t="n">
        <v>84</v>
      </c>
      <c r="I208">
        <f>IFERROR(VLOOKUP(C208, Merchants!$A$2:$D$41, 2, FALSE), "Merchant not found")</f>
        <v/>
      </c>
      <c r="J208">
        <f>IFERROR(VLOOKUP(C208, Merchants!$A$2:$D$41, 3, FALSE), "Merchant not found")</f>
        <v/>
      </c>
      <c r="K208">
        <f>IFERROR(VLOOKUP(C208, Merchants!$A$2:$D$41, 4, FALSE), "Merchant not found")</f>
        <v/>
      </c>
      <c r="L208">
        <f>HLOOKUP(F208, Fee_Tiers!$B$1:$E$2, 2, FALSE)</f>
        <v/>
      </c>
      <c r="M208">
        <f>IF(AND(E208&gt;5000, K208&lt;&gt;"&gt;East"), "High-Value Merchant Day", "Standard")</f>
        <v/>
      </c>
    </row>
    <row r="209">
      <c r="A209" t="inlineStr">
        <is>
          <t>TXN100207</t>
        </is>
      </c>
      <c r="B209" t="n">
        <v>15</v>
      </c>
      <c r="C209" t="n">
        <v>12</v>
      </c>
      <c r="D209" t="inlineStr">
        <is>
          <t>2026-01-27 22:17:00</t>
        </is>
      </c>
      <c r="E209" t="n">
        <v>149</v>
      </c>
      <c r="F209" t="inlineStr">
        <is>
          <t>UPI</t>
        </is>
      </c>
      <c r="G209" t="inlineStr">
        <is>
          <t>captured</t>
        </is>
      </c>
      <c r="H209" t="n">
        <v>34</v>
      </c>
      <c r="I209">
        <f>IFERROR(VLOOKUP(C209, Merchants!$A$2:$D$41, 2, FALSE), "Merchant not found")</f>
        <v/>
      </c>
      <c r="J209">
        <f>IFERROR(VLOOKUP(C209, Merchants!$A$2:$D$41, 3, FALSE), "Merchant not found")</f>
        <v/>
      </c>
      <c r="K209">
        <f>IFERROR(VLOOKUP(C209, Merchants!$A$2:$D$41, 4, FALSE), "Merchant not found")</f>
        <v/>
      </c>
      <c r="L209">
        <f>HLOOKUP(F209, Fee_Tiers!$B$1:$E$2, 2, FALSE)</f>
        <v/>
      </c>
      <c r="M209">
        <f>IF(AND(E209&gt;5000, K209&lt;&gt;"&gt;East"), "High-Value Merchant Day", "Standard")</f>
        <v/>
      </c>
    </row>
    <row r="210">
      <c r="A210" t="inlineStr">
        <is>
          <t>TXN100208</t>
        </is>
      </c>
      <c r="B210" t="n">
        <v>174</v>
      </c>
      <c r="C210" t="n">
        <v>23</v>
      </c>
      <c r="D210" t="inlineStr">
        <is>
          <t>2026-01-23 09:58:00</t>
        </is>
      </c>
      <c r="E210" t="n">
        <v>149</v>
      </c>
      <c r="F210" t="inlineStr">
        <is>
          <t>UPI</t>
        </is>
      </c>
      <c r="G210" t="inlineStr">
        <is>
          <t>captured</t>
        </is>
      </c>
      <c r="H210" t="n">
        <v>0</v>
      </c>
      <c r="I210">
        <f>IFERROR(VLOOKUP(C210, Merchants!$A$2:$D$41, 2, FALSE), "Merchant not found")</f>
        <v/>
      </c>
      <c r="J210">
        <f>IFERROR(VLOOKUP(C210, Merchants!$A$2:$D$41, 3, FALSE), "Merchant not found")</f>
        <v/>
      </c>
      <c r="K210">
        <f>IFERROR(VLOOKUP(C210, Merchants!$A$2:$D$41, 4, FALSE), "Merchant not found")</f>
        <v/>
      </c>
      <c r="L210">
        <f>HLOOKUP(F210, Fee_Tiers!$B$1:$E$2, 2, FALSE)</f>
        <v/>
      </c>
      <c r="M210">
        <f>IF(AND(E210&gt;5000, K210&lt;&gt;"&gt;East"), "High-Value Merchant Day", "Standard")</f>
        <v/>
      </c>
    </row>
    <row r="211">
      <c r="A211" t="inlineStr">
        <is>
          <t>TXN100209</t>
        </is>
      </c>
      <c r="B211" t="n">
        <v>337</v>
      </c>
      <c r="C211" t="n">
        <v>26</v>
      </c>
      <c r="D211" t="inlineStr">
        <is>
          <t>2026-01-06 04:36:00</t>
        </is>
      </c>
      <c r="E211" t="n">
        <v>49</v>
      </c>
      <c r="F211" t="inlineStr">
        <is>
          <t>UPI</t>
        </is>
      </c>
      <c r="G211" t="inlineStr">
        <is>
          <t>captured</t>
        </is>
      </c>
      <c r="H211" t="n">
        <v>8</v>
      </c>
      <c r="I211">
        <f>IFERROR(VLOOKUP(C211, Merchants!$A$2:$D$41, 2, FALSE), "Merchant not found")</f>
        <v/>
      </c>
      <c r="J211">
        <f>IFERROR(VLOOKUP(C211, Merchants!$A$2:$D$41, 3, FALSE), "Merchant not found")</f>
        <v/>
      </c>
      <c r="K211">
        <f>IFERROR(VLOOKUP(C211, Merchants!$A$2:$D$41, 4, FALSE), "Merchant not found")</f>
        <v/>
      </c>
      <c r="L211">
        <f>HLOOKUP(F211, Fee_Tiers!$B$1:$E$2, 2, FALSE)</f>
        <v/>
      </c>
      <c r="M211">
        <f>IF(AND(E211&gt;5000, K211&lt;&gt;"&gt;East"), "High-Value Merchant Day", "Standard")</f>
        <v/>
      </c>
    </row>
    <row r="212">
      <c r="A212" t="inlineStr">
        <is>
          <t>TXN100210</t>
        </is>
      </c>
      <c r="B212" t="n">
        <v>16</v>
      </c>
      <c r="C212" t="n">
        <v>6</v>
      </c>
      <c r="D212" t="inlineStr">
        <is>
          <t>2026-01-05 23:40:00</t>
        </is>
      </c>
      <c r="E212" t="n">
        <v>1499</v>
      </c>
      <c r="F212" t="inlineStr">
        <is>
          <t>UPI</t>
        </is>
      </c>
      <c r="G212" t="inlineStr">
        <is>
          <t>captured</t>
        </is>
      </c>
      <c r="H212" t="n">
        <v>95</v>
      </c>
      <c r="I212">
        <f>IFERROR(VLOOKUP(C212, Merchants!$A$2:$D$41, 2, FALSE), "Merchant not found")</f>
        <v/>
      </c>
      <c r="J212">
        <f>IFERROR(VLOOKUP(C212, Merchants!$A$2:$D$41, 3, FALSE), "Merchant not found")</f>
        <v/>
      </c>
      <c r="K212">
        <f>IFERROR(VLOOKUP(C212, Merchants!$A$2:$D$41, 4, FALSE), "Merchant not found")</f>
        <v/>
      </c>
      <c r="L212">
        <f>HLOOKUP(F212, Fee_Tiers!$B$1:$E$2, 2, FALSE)</f>
        <v/>
      </c>
      <c r="M212">
        <f>IF(AND(E212&gt;5000, K212&lt;&gt;"&gt;East"), "High-Value Merchant Day", "Standard")</f>
        <v/>
      </c>
    </row>
    <row r="213">
      <c r="A213" t="inlineStr">
        <is>
          <t>TXN100211</t>
        </is>
      </c>
      <c r="B213" t="n">
        <v>215</v>
      </c>
      <c r="C213" t="n">
        <v>30</v>
      </c>
      <c r="D213" t="inlineStr">
        <is>
          <t>2026-01-17 06:24:00</t>
        </is>
      </c>
      <c r="E213" t="n">
        <v>49</v>
      </c>
      <c r="F213" t="inlineStr">
        <is>
          <t>UPI</t>
        </is>
      </c>
      <c r="G213" t="inlineStr">
        <is>
          <t>captured</t>
        </is>
      </c>
      <c r="H213" t="n">
        <v>43</v>
      </c>
      <c r="I213">
        <f>IFERROR(VLOOKUP(C213, Merchants!$A$2:$D$41, 2, FALSE), "Merchant not found")</f>
        <v/>
      </c>
      <c r="J213">
        <f>IFERROR(VLOOKUP(C213, Merchants!$A$2:$D$41, 3, FALSE), "Merchant not found")</f>
        <v/>
      </c>
      <c r="K213">
        <f>IFERROR(VLOOKUP(C213, Merchants!$A$2:$D$41, 4, FALSE), "Merchant not found")</f>
        <v/>
      </c>
      <c r="L213">
        <f>HLOOKUP(F213, Fee_Tiers!$B$1:$E$2, 2, FALSE)</f>
        <v/>
      </c>
      <c r="M213">
        <f>IF(AND(E213&gt;5000, K213&lt;&gt;"&gt;East"), "High-Value Merchant Day", "Standard")</f>
        <v/>
      </c>
    </row>
    <row r="214">
      <c r="A214" t="inlineStr">
        <is>
          <t>TXN100212</t>
        </is>
      </c>
      <c r="B214" t="n">
        <v>167</v>
      </c>
      <c r="C214" t="n">
        <v>37</v>
      </c>
      <c r="D214" t="inlineStr">
        <is>
          <t>2026-01-06 11:19:00</t>
        </is>
      </c>
      <c r="E214" t="n">
        <v>99</v>
      </c>
      <c r="F214" t="inlineStr">
        <is>
          <t>UPI</t>
        </is>
      </c>
      <c r="G214" t="inlineStr">
        <is>
          <t>captured</t>
        </is>
      </c>
      <c r="H214" t="n">
        <v>76</v>
      </c>
      <c r="I214">
        <f>IFERROR(VLOOKUP(C214, Merchants!$A$2:$D$41, 2, FALSE), "Merchant not found")</f>
        <v/>
      </c>
      <c r="J214">
        <f>IFERROR(VLOOKUP(C214, Merchants!$A$2:$D$41, 3, FALSE), "Merchant not found")</f>
        <v/>
      </c>
      <c r="K214">
        <f>IFERROR(VLOOKUP(C214, Merchants!$A$2:$D$41, 4, FALSE), "Merchant not found")</f>
        <v/>
      </c>
      <c r="L214">
        <f>HLOOKUP(F214, Fee_Tiers!$B$1:$E$2, 2, FALSE)</f>
        <v/>
      </c>
      <c r="M214">
        <f>IF(AND(E214&gt;5000, K214&lt;&gt;"&gt;East"), "High-Value Merchant Day", "Standard")</f>
        <v/>
      </c>
    </row>
    <row r="215">
      <c r="A215" t="inlineStr">
        <is>
          <t>TXN100213</t>
        </is>
      </c>
      <c r="B215" t="n">
        <v>81</v>
      </c>
      <c r="C215" t="n">
        <v>40</v>
      </c>
      <c r="D215" t="inlineStr">
        <is>
          <t>2026-01-03 01:09:00</t>
        </is>
      </c>
      <c r="E215" t="n">
        <v>49</v>
      </c>
      <c r="F215" t="inlineStr">
        <is>
          <t>UPI</t>
        </is>
      </c>
      <c r="G215" t="inlineStr">
        <is>
          <t>captured</t>
        </is>
      </c>
      <c r="H215" t="n">
        <v>6</v>
      </c>
      <c r="I215">
        <f>IFERROR(VLOOKUP(C215, Merchants!$A$2:$D$41, 2, FALSE), "Merchant not found")</f>
        <v/>
      </c>
      <c r="J215">
        <f>IFERROR(VLOOKUP(C215, Merchants!$A$2:$D$41, 3, FALSE), "Merchant not found")</f>
        <v/>
      </c>
      <c r="K215">
        <f>IFERROR(VLOOKUP(C215, Merchants!$A$2:$D$41, 4, FALSE), "Merchant not found")</f>
        <v/>
      </c>
      <c r="L215">
        <f>HLOOKUP(F215, Fee_Tiers!$B$1:$E$2, 2, FALSE)</f>
        <v/>
      </c>
      <c r="M215">
        <f>IF(AND(E215&gt;5000, K215&lt;&gt;"&gt;East"), "High-Value Merchant Day", "Standard")</f>
        <v/>
      </c>
    </row>
    <row r="216">
      <c r="A216" t="inlineStr">
        <is>
          <t>TXN100214</t>
        </is>
      </c>
      <c r="B216" t="n">
        <v>227</v>
      </c>
      <c r="C216" t="n">
        <v>28</v>
      </c>
      <c r="D216" t="inlineStr">
        <is>
          <t>2026-01-22 02:17:00</t>
        </is>
      </c>
      <c r="E216" t="n">
        <v>99</v>
      </c>
      <c r="F216" t="inlineStr">
        <is>
          <t>UPI</t>
        </is>
      </c>
      <c r="G216" t="inlineStr">
        <is>
          <t>captured</t>
        </is>
      </c>
      <c r="H216" t="n">
        <v>62</v>
      </c>
      <c r="I216">
        <f>IFERROR(VLOOKUP(C216, Merchants!$A$2:$D$41, 2, FALSE), "Merchant not found")</f>
        <v/>
      </c>
      <c r="J216">
        <f>IFERROR(VLOOKUP(C216, Merchants!$A$2:$D$41, 3, FALSE), "Merchant not found")</f>
        <v/>
      </c>
      <c r="K216">
        <f>IFERROR(VLOOKUP(C216, Merchants!$A$2:$D$41, 4, FALSE), "Merchant not found")</f>
        <v/>
      </c>
      <c r="L216">
        <f>HLOOKUP(F216, Fee_Tiers!$B$1:$E$2, 2, FALSE)</f>
        <v/>
      </c>
      <c r="M216">
        <f>IF(AND(E216&gt;5000, K216&lt;&gt;"&gt;East"), "High-Value Merchant Day", "Standard")</f>
        <v/>
      </c>
    </row>
    <row r="217">
      <c r="A217" t="inlineStr">
        <is>
          <t>TXN100215</t>
        </is>
      </c>
      <c r="B217" t="n">
        <v>140</v>
      </c>
      <c r="C217" t="n">
        <v>14</v>
      </c>
      <c r="D217" t="inlineStr">
        <is>
          <t>2026-01-20 14:26:00</t>
        </is>
      </c>
      <c r="E217" t="n">
        <v>299</v>
      </c>
      <c r="F217" t="inlineStr">
        <is>
          <t>Wallet</t>
        </is>
      </c>
      <c r="G217" t="inlineStr">
        <is>
          <t>captured</t>
        </is>
      </c>
      <c r="H217" t="n">
        <v>96</v>
      </c>
      <c r="I217">
        <f>IFERROR(VLOOKUP(C217, Merchants!$A$2:$D$41, 2, FALSE), "Merchant not found")</f>
        <v/>
      </c>
      <c r="J217">
        <f>IFERROR(VLOOKUP(C217, Merchants!$A$2:$D$41, 3, FALSE), "Merchant not found")</f>
        <v/>
      </c>
      <c r="K217">
        <f>IFERROR(VLOOKUP(C217, Merchants!$A$2:$D$41, 4, FALSE), "Merchant not found")</f>
        <v/>
      </c>
      <c r="L217">
        <f>HLOOKUP(F217, Fee_Tiers!$B$1:$E$2, 2, FALSE)</f>
        <v/>
      </c>
      <c r="M217">
        <f>IF(AND(E217&gt;5000, K217&lt;&gt;"&gt;East"), "High-Value Merchant Day", "Standard")</f>
        <v/>
      </c>
    </row>
    <row r="218">
      <c r="A218" t="inlineStr">
        <is>
          <t>TXN100216</t>
        </is>
      </c>
      <c r="B218" t="n">
        <v>221</v>
      </c>
      <c r="C218" t="n">
        <v>8</v>
      </c>
      <c r="D218" t="inlineStr">
        <is>
          <t>2026-01-17 03:22:00</t>
        </is>
      </c>
      <c r="E218" t="n">
        <v>299</v>
      </c>
      <c r="F218" t="inlineStr">
        <is>
          <t>UPI</t>
        </is>
      </c>
      <c r="G218" t="inlineStr">
        <is>
          <t>captured</t>
        </is>
      </c>
      <c r="H218" t="n">
        <v>36</v>
      </c>
      <c r="I218">
        <f>IFERROR(VLOOKUP(C218, Merchants!$A$2:$D$41, 2, FALSE), "Merchant not found")</f>
        <v/>
      </c>
      <c r="J218">
        <f>IFERROR(VLOOKUP(C218, Merchants!$A$2:$D$41, 3, FALSE), "Merchant not found")</f>
        <v/>
      </c>
      <c r="K218">
        <f>IFERROR(VLOOKUP(C218, Merchants!$A$2:$D$41, 4, FALSE), "Merchant not found")</f>
        <v/>
      </c>
      <c r="L218">
        <f>HLOOKUP(F218, Fee_Tiers!$B$1:$E$2, 2, FALSE)</f>
        <v/>
      </c>
      <c r="M218">
        <f>IF(AND(E218&gt;5000, K218&lt;&gt;"&gt;East"), "High-Value Merchant Day", "Standard")</f>
        <v/>
      </c>
    </row>
    <row r="219">
      <c r="A219" t="inlineStr">
        <is>
          <t>TXN100217</t>
        </is>
      </c>
      <c r="B219" t="n">
        <v>250</v>
      </c>
      <c r="C219" t="n">
        <v>34</v>
      </c>
      <c r="D219" t="inlineStr">
        <is>
          <t>2026-01-22 21:37:00</t>
        </is>
      </c>
      <c r="E219" t="n">
        <v>299</v>
      </c>
      <c r="F219" t="inlineStr">
        <is>
          <t>Wallet</t>
        </is>
      </c>
      <c r="G219" t="inlineStr">
        <is>
          <t>captured</t>
        </is>
      </c>
      <c r="H219" t="n">
        <v>85</v>
      </c>
      <c r="I219">
        <f>IFERROR(VLOOKUP(C219, Merchants!$A$2:$D$41, 2, FALSE), "Merchant not found")</f>
        <v/>
      </c>
      <c r="J219">
        <f>IFERROR(VLOOKUP(C219, Merchants!$A$2:$D$41, 3, FALSE), "Merchant not found")</f>
        <v/>
      </c>
      <c r="K219">
        <f>IFERROR(VLOOKUP(C219, Merchants!$A$2:$D$41, 4, FALSE), "Merchant not found")</f>
        <v/>
      </c>
      <c r="L219">
        <f>HLOOKUP(F219, Fee_Tiers!$B$1:$E$2, 2, FALSE)</f>
        <v/>
      </c>
      <c r="M219">
        <f>IF(AND(E219&gt;5000, K219&lt;&gt;"&gt;East"), "High-Value Merchant Day", "Standard")</f>
        <v/>
      </c>
    </row>
    <row r="220">
      <c r="A220" t="inlineStr">
        <is>
          <t>TXN100218</t>
        </is>
      </c>
      <c r="B220" t="n">
        <v>203</v>
      </c>
      <c r="C220" t="n">
        <v>39</v>
      </c>
      <c r="D220" t="inlineStr">
        <is>
          <t>2026-01-10 01:14:00</t>
        </is>
      </c>
      <c r="E220" t="n">
        <v>49</v>
      </c>
      <c r="F220" t="inlineStr">
        <is>
          <t>UPI</t>
        </is>
      </c>
      <c r="G220" t="inlineStr">
        <is>
          <t>captured</t>
        </is>
      </c>
      <c r="H220" t="n">
        <v>7</v>
      </c>
      <c r="I220">
        <f>IFERROR(VLOOKUP(C220, Merchants!$A$2:$D$41, 2, FALSE), "Merchant not found")</f>
        <v/>
      </c>
      <c r="J220">
        <f>IFERROR(VLOOKUP(C220, Merchants!$A$2:$D$41, 3, FALSE), "Merchant not found")</f>
        <v/>
      </c>
      <c r="K220">
        <f>IFERROR(VLOOKUP(C220, Merchants!$A$2:$D$41, 4, FALSE), "Merchant not found")</f>
        <v/>
      </c>
      <c r="L220">
        <f>HLOOKUP(F220, Fee_Tiers!$B$1:$E$2, 2, FALSE)</f>
        <v/>
      </c>
      <c r="M220">
        <f>IF(AND(E220&gt;5000, K220&lt;&gt;"&gt;East"), "High-Value Merchant Day", "Standard")</f>
        <v/>
      </c>
    </row>
    <row r="221">
      <c r="A221" t="inlineStr">
        <is>
          <t>TXN100219</t>
        </is>
      </c>
      <c r="B221" t="n">
        <v>109</v>
      </c>
      <c r="C221" t="n">
        <v>9</v>
      </c>
      <c r="D221" t="inlineStr">
        <is>
          <t>2026-01-01 06:19:00</t>
        </is>
      </c>
      <c r="E221" t="n">
        <v>499</v>
      </c>
      <c r="F221" t="inlineStr">
        <is>
          <t>Wallet</t>
        </is>
      </c>
      <c r="G221" t="inlineStr">
        <is>
          <t>captured</t>
        </is>
      </c>
      <c r="H221" t="n">
        <v>97</v>
      </c>
      <c r="I221">
        <f>IFERROR(VLOOKUP(C221, Merchants!$A$2:$D$41, 2, FALSE), "Merchant not found")</f>
        <v/>
      </c>
      <c r="J221">
        <f>IFERROR(VLOOKUP(C221, Merchants!$A$2:$D$41, 3, FALSE), "Merchant not found")</f>
        <v/>
      </c>
      <c r="K221">
        <f>IFERROR(VLOOKUP(C221, Merchants!$A$2:$D$41, 4, FALSE), "Merchant not found")</f>
        <v/>
      </c>
      <c r="L221">
        <f>HLOOKUP(F221, Fee_Tiers!$B$1:$E$2, 2, FALSE)</f>
        <v/>
      </c>
      <c r="M221">
        <f>IF(AND(E221&gt;5000, K221&lt;&gt;"&gt;East"), "High-Value Merchant Day", "Standard")</f>
        <v/>
      </c>
    </row>
    <row r="222">
      <c r="A222" t="inlineStr">
        <is>
          <t>TXN100220</t>
        </is>
      </c>
      <c r="B222" t="n">
        <v>62</v>
      </c>
      <c r="C222" t="n">
        <v>1</v>
      </c>
      <c r="D222" t="inlineStr">
        <is>
          <t>2026-01-09 09:20:00</t>
        </is>
      </c>
      <c r="E222" t="n">
        <v>4999</v>
      </c>
      <c r="F222" t="inlineStr">
        <is>
          <t>Wallet</t>
        </is>
      </c>
      <c r="G222" t="inlineStr">
        <is>
          <t>captured</t>
        </is>
      </c>
      <c r="H222" t="n">
        <v>63</v>
      </c>
      <c r="I222">
        <f>IFERROR(VLOOKUP(C222, Merchants!$A$2:$D$41, 2, FALSE), "Merchant not found")</f>
        <v/>
      </c>
      <c r="J222">
        <f>IFERROR(VLOOKUP(C222, Merchants!$A$2:$D$41, 3, FALSE), "Merchant not found")</f>
        <v/>
      </c>
      <c r="K222">
        <f>IFERROR(VLOOKUP(C222, Merchants!$A$2:$D$41, 4, FALSE), "Merchant not found")</f>
        <v/>
      </c>
      <c r="L222">
        <f>HLOOKUP(F222, Fee_Tiers!$B$1:$E$2, 2, FALSE)</f>
        <v/>
      </c>
      <c r="M222">
        <f>IF(AND(E222&gt;5000, K222&lt;&gt;"&gt;East"), "High-Value Merchant Day", "Standard")</f>
        <v/>
      </c>
    </row>
    <row r="223">
      <c r="A223" t="inlineStr">
        <is>
          <t>TXN100221</t>
        </is>
      </c>
      <c r="B223" t="n">
        <v>67</v>
      </c>
      <c r="C223" t="n">
        <v>25</v>
      </c>
      <c r="D223" t="inlineStr">
        <is>
          <t>2026-01-24 13:11:00</t>
        </is>
      </c>
      <c r="E223" t="n">
        <v>49</v>
      </c>
      <c r="F223" t="inlineStr">
        <is>
          <t>UPI</t>
        </is>
      </c>
      <c r="G223" t="inlineStr">
        <is>
          <t>captured</t>
        </is>
      </c>
      <c r="H223" t="n">
        <v>68</v>
      </c>
      <c r="I223">
        <f>IFERROR(VLOOKUP(C223, Merchants!$A$2:$D$41, 2, FALSE), "Merchant not found")</f>
        <v/>
      </c>
      <c r="J223">
        <f>IFERROR(VLOOKUP(C223, Merchants!$A$2:$D$41, 3, FALSE), "Merchant not found")</f>
        <v/>
      </c>
      <c r="K223">
        <f>IFERROR(VLOOKUP(C223, Merchants!$A$2:$D$41, 4, FALSE), "Merchant not found")</f>
        <v/>
      </c>
      <c r="L223">
        <f>HLOOKUP(F223, Fee_Tiers!$B$1:$E$2, 2, FALSE)</f>
        <v/>
      </c>
      <c r="M223">
        <f>IF(AND(E223&gt;5000, K223&lt;&gt;"&gt;East"), "High-Value Merchant Day", "Standard")</f>
        <v/>
      </c>
    </row>
    <row r="224">
      <c r="A224" t="inlineStr">
        <is>
          <t>TXN100222</t>
        </is>
      </c>
      <c r="B224" t="n">
        <v>287</v>
      </c>
      <c r="C224" t="n">
        <v>23</v>
      </c>
      <c r="D224" t="inlineStr">
        <is>
          <t>2026-01-23 07:32:00</t>
        </is>
      </c>
      <c r="E224" t="n">
        <v>49</v>
      </c>
      <c r="F224" t="inlineStr">
        <is>
          <t>UPI</t>
        </is>
      </c>
      <c r="G224" t="inlineStr">
        <is>
          <t>captured</t>
        </is>
      </c>
      <c r="H224" t="n">
        <v>9</v>
      </c>
      <c r="I224">
        <f>IFERROR(VLOOKUP(C224, Merchants!$A$2:$D$41, 2, FALSE), "Merchant not found")</f>
        <v/>
      </c>
      <c r="J224">
        <f>IFERROR(VLOOKUP(C224, Merchants!$A$2:$D$41, 3, FALSE), "Merchant not found")</f>
        <v/>
      </c>
      <c r="K224">
        <f>IFERROR(VLOOKUP(C224, Merchants!$A$2:$D$41, 4, FALSE), "Merchant not found")</f>
        <v/>
      </c>
      <c r="L224">
        <f>HLOOKUP(F224, Fee_Tiers!$B$1:$E$2, 2, FALSE)</f>
        <v/>
      </c>
      <c r="M224">
        <f>IF(AND(E224&gt;5000, K224&lt;&gt;"&gt;East"), "High-Value Merchant Day", "Standard")</f>
        <v/>
      </c>
    </row>
    <row r="225">
      <c r="A225" t="inlineStr">
        <is>
          <t>TXN100223</t>
        </is>
      </c>
      <c r="B225" t="n">
        <v>224</v>
      </c>
      <c r="C225" t="n">
        <v>2</v>
      </c>
      <c r="D225" t="inlineStr">
        <is>
          <t>2026-01-13 23:02:00</t>
        </is>
      </c>
      <c r="E225" t="n">
        <v>49</v>
      </c>
      <c r="F225" t="inlineStr">
        <is>
          <t>Card</t>
        </is>
      </c>
      <c r="G225" t="inlineStr">
        <is>
          <t>captured</t>
        </is>
      </c>
      <c r="H225" t="n">
        <v>58</v>
      </c>
      <c r="I225">
        <f>IFERROR(VLOOKUP(C225, Merchants!$A$2:$D$41, 2, FALSE), "Merchant not found")</f>
        <v/>
      </c>
      <c r="J225">
        <f>IFERROR(VLOOKUP(C225, Merchants!$A$2:$D$41, 3, FALSE), "Merchant not found")</f>
        <v/>
      </c>
      <c r="K225">
        <f>IFERROR(VLOOKUP(C225, Merchants!$A$2:$D$41, 4, FALSE), "Merchant not found")</f>
        <v/>
      </c>
      <c r="L225">
        <f>HLOOKUP(F225, Fee_Tiers!$B$1:$E$2, 2, FALSE)</f>
        <v/>
      </c>
      <c r="M225">
        <f>IF(AND(E225&gt;5000, K225&lt;&gt;"&gt;East"), "High-Value Merchant Day", "Standard")</f>
        <v/>
      </c>
    </row>
    <row r="226">
      <c r="A226" t="inlineStr">
        <is>
          <t>TXN100224</t>
        </is>
      </c>
      <c r="B226" t="n">
        <v>161</v>
      </c>
      <c r="C226" t="n">
        <v>37</v>
      </c>
      <c r="D226" t="inlineStr">
        <is>
          <t>2026-01-30 02:55:00</t>
        </is>
      </c>
      <c r="E226" t="n">
        <v>299</v>
      </c>
      <c r="F226" t="inlineStr">
        <is>
          <t>UPI</t>
        </is>
      </c>
      <c r="G226" t="inlineStr">
        <is>
          <t>captured</t>
        </is>
      </c>
      <c r="H226" t="n">
        <v>54</v>
      </c>
      <c r="I226">
        <f>IFERROR(VLOOKUP(C226, Merchants!$A$2:$D$41, 2, FALSE), "Merchant not found")</f>
        <v/>
      </c>
      <c r="J226">
        <f>IFERROR(VLOOKUP(C226, Merchants!$A$2:$D$41, 3, FALSE), "Merchant not found")</f>
        <v/>
      </c>
      <c r="K226">
        <f>IFERROR(VLOOKUP(C226, Merchants!$A$2:$D$41, 4, FALSE), "Merchant not found")</f>
        <v/>
      </c>
      <c r="L226">
        <f>HLOOKUP(F226, Fee_Tiers!$B$1:$E$2, 2, FALSE)</f>
        <v/>
      </c>
      <c r="M226">
        <f>IF(AND(E226&gt;5000, K226&lt;&gt;"&gt;East"), "High-Value Merchant Day", "Standard")</f>
        <v/>
      </c>
    </row>
    <row r="227">
      <c r="A227" t="inlineStr">
        <is>
          <t>TXN100225</t>
        </is>
      </c>
      <c r="B227" t="n">
        <v>328</v>
      </c>
      <c r="C227" t="n">
        <v>27</v>
      </c>
      <c r="D227" t="inlineStr">
        <is>
          <t>2026-01-19 12:45:00</t>
        </is>
      </c>
      <c r="E227" t="n">
        <v>49</v>
      </c>
      <c r="F227" t="inlineStr">
        <is>
          <t>UPI</t>
        </is>
      </c>
      <c r="G227" t="inlineStr">
        <is>
          <t>chargeback</t>
        </is>
      </c>
      <c r="H227" t="n">
        <v>37</v>
      </c>
      <c r="I227">
        <f>IFERROR(VLOOKUP(C227, Merchants!$A$2:$D$41, 2, FALSE), "Merchant not found")</f>
        <v/>
      </c>
      <c r="J227">
        <f>IFERROR(VLOOKUP(C227, Merchants!$A$2:$D$41, 3, FALSE), "Merchant not found")</f>
        <v/>
      </c>
      <c r="K227">
        <f>IFERROR(VLOOKUP(C227, Merchants!$A$2:$D$41, 4, FALSE), "Merchant not found")</f>
        <v/>
      </c>
      <c r="L227">
        <f>HLOOKUP(F227, Fee_Tiers!$B$1:$E$2, 2, FALSE)</f>
        <v/>
      </c>
      <c r="M227">
        <f>IF(AND(E227&gt;5000, K227&lt;&gt;"&gt;East"), "High-Value Merchant Day", "Standard")</f>
        <v/>
      </c>
    </row>
    <row r="228">
      <c r="A228" t="inlineStr">
        <is>
          <t>TXN100226</t>
        </is>
      </c>
      <c r="B228" t="n">
        <v>167</v>
      </c>
      <c r="C228" t="n">
        <v>11</v>
      </c>
      <c r="D228" t="inlineStr">
        <is>
          <t>2026-01-04 12:01:00</t>
        </is>
      </c>
      <c r="E228" t="n">
        <v>1499</v>
      </c>
      <c r="F228" t="inlineStr">
        <is>
          <t>Card</t>
        </is>
      </c>
      <c r="G228" t="inlineStr">
        <is>
          <t>failed</t>
        </is>
      </c>
      <c r="H228" t="n">
        <v>79</v>
      </c>
      <c r="I228">
        <f>IFERROR(VLOOKUP(C228, Merchants!$A$2:$D$41, 2, FALSE), "Merchant not found")</f>
        <v/>
      </c>
      <c r="J228">
        <f>IFERROR(VLOOKUP(C228, Merchants!$A$2:$D$41, 3, FALSE), "Merchant not found")</f>
        <v/>
      </c>
      <c r="K228">
        <f>IFERROR(VLOOKUP(C228, Merchants!$A$2:$D$41, 4, FALSE), "Merchant not found")</f>
        <v/>
      </c>
      <c r="L228">
        <f>HLOOKUP(F228, Fee_Tiers!$B$1:$E$2, 2, FALSE)</f>
        <v/>
      </c>
      <c r="M228">
        <f>IF(AND(E228&gt;5000, K228&lt;&gt;"&gt;East"), "High-Value Merchant Day", "Standard")</f>
        <v/>
      </c>
    </row>
    <row r="229">
      <c r="A229" t="inlineStr">
        <is>
          <t>TXN100227</t>
        </is>
      </c>
      <c r="B229" t="n">
        <v>186</v>
      </c>
      <c r="C229" t="n">
        <v>6</v>
      </c>
      <c r="D229" t="inlineStr">
        <is>
          <t>2026-01-15 22:58:00</t>
        </is>
      </c>
      <c r="E229" t="n">
        <v>49</v>
      </c>
      <c r="F229" t="inlineStr">
        <is>
          <t>Wallet</t>
        </is>
      </c>
      <c r="G229" t="inlineStr">
        <is>
          <t>captured</t>
        </is>
      </c>
      <c r="H229" t="n">
        <v>55</v>
      </c>
      <c r="I229">
        <f>IFERROR(VLOOKUP(C229, Merchants!$A$2:$D$41, 2, FALSE), "Merchant not found")</f>
        <v/>
      </c>
      <c r="J229">
        <f>IFERROR(VLOOKUP(C229, Merchants!$A$2:$D$41, 3, FALSE), "Merchant not found")</f>
        <v/>
      </c>
      <c r="K229">
        <f>IFERROR(VLOOKUP(C229, Merchants!$A$2:$D$41, 4, FALSE), "Merchant not found")</f>
        <v/>
      </c>
      <c r="L229">
        <f>HLOOKUP(F229, Fee_Tiers!$B$1:$E$2, 2, FALSE)</f>
        <v/>
      </c>
      <c r="M229">
        <f>IF(AND(E229&gt;5000, K229&lt;&gt;"&gt;East"), "High-Value Merchant Day", "Standard")</f>
        <v/>
      </c>
    </row>
    <row r="230">
      <c r="A230" t="inlineStr">
        <is>
          <t>TXN100228</t>
        </is>
      </c>
      <c r="B230" t="n">
        <v>224</v>
      </c>
      <c r="C230" t="n">
        <v>38</v>
      </c>
      <c r="D230" t="inlineStr">
        <is>
          <t>2026-01-28 03:15:00</t>
        </is>
      </c>
      <c r="E230" t="n">
        <v>299</v>
      </c>
      <c r="F230" t="inlineStr">
        <is>
          <t>Wallet</t>
        </is>
      </c>
      <c r="G230" t="inlineStr">
        <is>
          <t>failed</t>
        </is>
      </c>
      <c r="H230" t="n">
        <v>51</v>
      </c>
      <c r="I230">
        <f>IFERROR(VLOOKUP(C230, Merchants!$A$2:$D$41, 2, FALSE), "Merchant not found")</f>
        <v/>
      </c>
      <c r="J230">
        <f>IFERROR(VLOOKUP(C230, Merchants!$A$2:$D$41, 3, FALSE), "Merchant not found")</f>
        <v/>
      </c>
      <c r="K230">
        <f>IFERROR(VLOOKUP(C230, Merchants!$A$2:$D$41, 4, FALSE), "Merchant not found")</f>
        <v/>
      </c>
      <c r="L230">
        <f>HLOOKUP(F230, Fee_Tiers!$B$1:$E$2, 2, FALSE)</f>
        <v/>
      </c>
      <c r="M230">
        <f>IF(AND(E230&gt;5000, K230&lt;&gt;"&gt;East"), "High-Value Merchant Day", "Standard")</f>
        <v/>
      </c>
    </row>
    <row r="231">
      <c r="A231" t="inlineStr">
        <is>
          <t>TXN100229</t>
        </is>
      </c>
      <c r="B231" t="n">
        <v>159</v>
      </c>
      <c r="C231" t="n">
        <v>22</v>
      </c>
      <c r="D231" t="inlineStr">
        <is>
          <t>2026-01-17 02:25:00</t>
        </is>
      </c>
      <c r="E231" t="n">
        <v>799</v>
      </c>
      <c r="F231" t="inlineStr">
        <is>
          <t>UPI</t>
        </is>
      </c>
      <c r="G231" t="inlineStr">
        <is>
          <t>captured</t>
        </is>
      </c>
      <c r="H231" t="n">
        <v>28</v>
      </c>
      <c r="I231">
        <f>IFERROR(VLOOKUP(C231, Merchants!$A$2:$D$41, 2, FALSE), "Merchant not found")</f>
        <v/>
      </c>
      <c r="J231">
        <f>IFERROR(VLOOKUP(C231, Merchants!$A$2:$D$41, 3, FALSE), "Merchant not found")</f>
        <v/>
      </c>
      <c r="K231">
        <f>IFERROR(VLOOKUP(C231, Merchants!$A$2:$D$41, 4, FALSE), "Merchant not found")</f>
        <v/>
      </c>
      <c r="L231">
        <f>HLOOKUP(F231, Fee_Tiers!$B$1:$E$2, 2, FALSE)</f>
        <v/>
      </c>
      <c r="M231">
        <f>IF(AND(E231&gt;5000, K231&lt;&gt;"&gt;East"), "High-Value Merchant Day", "Standard")</f>
        <v/>
      </c>
    </row>
    <row r="232">
      <c r="A232" t="inlineStr">
        <is>
          <t>TXN100230</t>
        </is>
      </c>
      <c r="B232" t="n">
        <v>262</v>
      </c>
      <c r="C232" t="n">
        <v>8</v>
      </c>
      <c r="D232" t="inlineStr">
        <is>
          <t>2026-01-11 05:04:00</t>
        </is>
      </c>
      <c r="E232" t="n">
        <v>149</v>
      </c>
      <c r="F232" t="inlineStr">
        <is>
          <t>UPI</t>
        </is>
      </c>
      <c r="G232" t="inlineStr">
        <is>
          <t>captured</t>
        </is>
      </c>
      <c r="H232" t="n">
        <v>67</v>
      </c>
      <c r="I232">
        <f>IFERROR(VLOOKUP(C232, Merchants!$A$2:$D$41, 2, FALSE), "Merchant not found")</f>
        <v/>
      </c>
      <c r="J232">
        <f>IFERROR(VLOOKUP(C232, Merchants!$A$2:$D$41, 3, FALSE), "Merchant not found")</f>
        <v/>
      </c>
      <c r="K232">
        <f>IFERROR(VLOOKUP(C232, Merchants!$A$2:$D$41, 4, FALSE), "Merchant not found")</f>
        <v/>
      </c>
      <c r="L232">
        <f>HLOOKUP(F232, Fee_Tiers!$B$1:$E$2, 2, FALSE)</f>
        <v/>
      </c>
      <c r="M232">
        <f>IF(AND(E232&gt;5000, K232&lt;&gt;"&gt;East"), "High-Value Merchant Day", "Standard")</f>
        <v/>
      </c>
    </row>
    <row r="233">
      <c r="A233" t="inlineStr">
        <is>
          <t>TXN100231</t>
        </is>
      </c>
      <c r="B233" t="n">
        <v>179</v>
      </c>
      <c r="C233" t="n">
        <v>23</v>
      </c>
      <c r="D233" t="inlineStr">
        <is>
          <t>2026-01-17 06:57:00</t>
        </is>
      </c>
      <c r="E233" t="n">
        <v>49</v>
      </c>
      <c r="F233" t="inlineStr">
        <is>
          <t>Wallet</t>
        </is>
      </c>
      <c r="G233" t="inlineStr">
        <is>
          <t>captured</t>
        </is>
      </c>
      <c r="H233" t="n">
        <v>93</v>
      </c>
      <c r="I233">
        <f>IFERROR(VLOOKUP(C233, Merchants!$A$2:$D$41, 2, FALSE), "Merchant not found")</f>
        <v/>
      </c>
      <c r="J233">
        <f>IFERROR(VLOOKUP(C233, Merchants!$A$2:$D$41, 3, FALSE), "Merchant not found")</f>
        <v/>
      </c>
      <c r="K233">
        <f>IFERROR(VLOOKUP(C233, Merchants!$A$2:$D$41, 4, FALSE), "Merchant not found")</f>
        <v/>
      </c>
      <c r="L233">
        <f>HLOOKUP(F233, Fee_Tiers!$B$1:$E$2, 2, FALSE)</f>
        <v/>
      </c>
      <c r="M233">
        <f>IF(AND(E233&gt;5000, K233&lt;&gt;"&gt;East"), "High-Value Merchant Day", "Standard")</f>
        <v/>
      </c>
    </row>
    <row r="234">
      <c r="A234" t="inlineStr">
        <is>
          <t>TXN100232</t>
        </is>
      </c>
      <c r="B234" t="n">
        <v>76</v>
      </c>
      <c r="C234" t="n">
        <v>16</v>
      </c>
      <c r="D234" t="inlineStr">
        <is>
          <t>2026-01-27 20:52:00</t>
        </is>
      </c>
      <c r="E234" t="n">
        <v>299</v>
      </c>
      <c r="F234" t="inlineStr">
        <is>
          <t>UPI</t>
        </is>
      </c>
      <c r="G234" t="inlineStr">
        <is>
          <t>captured</t>
        </is>
      </c>
      <c r="H234" t="n">
        <v>13</v>
      </c>
      <c r="I234">
        <f>IFERROR(VLOOKUP(C234, Merchants!$A$2:$D$41, 2, FALSE), "Merchant not found")</f>
        <v/>
      </c>
      <c r="J234">
        <f>IFERROR(VLOOKUP(C234, Merchants!$A$2:$D$41, 3, FALSE), "Merchant not found")</f>
        <v/>
      </c>
      <c r="K234">
        <f>IFERROR(VLOOKUP(C234, Merchants!$A$2:$D$41, 4, FALSE), "Merchant not found")</f>
        <v/>
      </c>
      <c r="L234">
        <f>HLOOKUP(F234, Fee_Tiers!$B$1:$E$2, 2, FALSE)</f>
        <v/>
      </c>
      <c r="M234">
        <f>IF(AND(E234&gt;5000, K234&lt;&gt;"&gt;East"), "High-Value Merchant Day", "Standard")</f>
        <v/>
      </c>
    </row>
    <row r="235">
      <c r="A235" t="inlineStr">
        <is>
          <t>TXN100233</t>
        </is>
      </c>
      <c r="B235" t="n">
        <v>89</v>
      </c>
      <c r="C235" t="n">
        <v>39</v>
      </c>
      <c r="D235" t="inlineStr">
        <is>
          <t>2026-01-05 08:12:00</t>
        </is>
      </c>
      <c r="E235" t="n">
        <v>299</v>
      </c>
      <c r="F235" t="inlineStr">
        <is>
          <t>UPI</t>
        </is>
      </c>
      <c r="G235" t="inlineStr">
        <is>
          <t>captured</t>
        </is>
      </c>
      <c r="H235" t="n">
        <v>19</v>
      </c>
      <c r="I235">
        <f>IFERROR(VLOOKUP(C235, Merchants!$A$2:$D$41, 2, FALSE), "Merchant not found")</f>
        <v/>
      </c>
      <c r="J235">
        <f>IFERROR(VLOOKUP(C235, Merchants!$A$2:$D$41, 3, FALSE), "Merchant not found")</f>
        <v/>
      </c>
      <c r="K235">
        <f>IFERROR(VLOOKUP(C235, Merchants!$A$2:$D$41, 4, FALSE), "Merchant not found")</f>
        <v/>
      </c>
      <c r="L235">
        <f>HLOOKUP(F235, Fee_Tiers!$B$1:$E$2, 2, FALSE)</f>
        <v/>
      </c>
      <c r="M235">
        <f>IF(AND(E235&gt;5000, K235&lt;&gt;"&gt;East"), "High-Value Merchant Day", "Standard")</f>
        <v/>
      </c>
    </row>
    <row r="236">
      <c r="A236" t="inlineStr">
        <is>
          <t>TXN100234</t>
        </is>
      </c>
      <c r="B236" t="n">
        <v>91</v>
      </c>
      <c r="C236" t="n">
        <v>32</v>
      </c>
      <c r="D236" t="inlineStr">
        <is>
          <t>2026-01-25 20:04:00</t>
        </is>
      </c>
      <c r="E236" t="n">
        <v>49</v>
      </c>
      <c r="F236" t="inlineStr">
        <is>
          <t>UPI</t>
        </is>
      </c>
      <c r="G236" t="inlineStr">
        <is>
          <t>captured</t>
        </is>
      </c>
      <c r="H236" t="n">
        <v>59</v>
      </c>
      <c r="I236">
        <f>IFERROR(VLOOKUP(C236, Merchants!$A$2:$D$41, 2, FALSE), "Merchant not found")</f>
        <v/>
      </c>
      <c r="J236">
        <f>IFERROR(VLOOKUP(C236, Merchants!$A$2:$D$41, 3, FALSE), "Merchant not found")</f>
        <v/>
      </c>
      <c r="K236">
        <f>IFERROR(VLOOKUP(C236, Merchants!$A$2:$D$41, 4, FALSE), "Merchant not found")</f>
        <v/>
      </c>
      <c r="L236">
        <f>HLOOKUP(F236, Fee_Tiers!$B$1:$E$2, 2, FALSE)</f>
        <v/>
      </c>
      <c r="M236">
        <f>IF(AND(E236&gt;5000, K236&lt;&gt;"&gt;East"), "High-Value Merchant Day", "Standard")</f>
        <v/>
      </c>
    </row>
    <row r="237">
      <c r="A237" t="inlineStr">
        <is>
          <t>TXN100235</t>
        </is>
      </c>
      <c r="B237" t="n">
        <v>297</v>
      </c>
      <c r="C237" t="n">
        <v>29</v>
      </c>
      <c r="D237" t="inlineStr">
        <is>
          <t>2026-01-25 18:48:00</t>
        </is>
      </c>
      <c r="E237" t="n">
        <v>99</v>
      </c>
      <c r="F237" t="inlineStr">
        <is>
          <t>Card</t>
        </is>
      </c>
      <c r="G237" t="inlineStr">
        <is>
          <t>chargeback</t>
        </is>
      </c>
      <c r="H237" t="n">
        <v>87</v>
      </c>
      <c r="I237">
        <f>IFERROR(VLOOKUP(C237, Merchants!$A$2:$D$41, 2, FALSE), "Merchant not found")</f>
        <v/>
      </c>
      <c r="J237">
        <f>IFERROR(VLOOKUP(C237, Merchants!$A$2:$D$41, 3, FALSE), "Merchant not found")</f>
        <v/>
      </c>
      <c r="K237">
        <f>IFERROR(VLOOKUP(C237, Merchants!$A$2:$D$41, 4, FALSE), "Merchant not found")</f>
        <v/>
      </c>
      <c r="L237">
        <f>HLOOKUP(F237, Fee_Tiers!$B$1:$E$2, 2, FALSE)</f>
        <v/>
      </c>
      <c r="M237">
        <f>IF(AND(E237&gt;5000, K237&lt;&gt;"&gt;East"), "High-Value Merchant Day", "Standard")</f>
        <v/>
      </c>
    </row>
    <row r="238">
      <c r="A238" t="inlineStr">
        <is>
          <t>TXN100236</t>
        </is>
      </c>
      <c r="B238" t="n">
        <v>326</v>
      </c>
      <c r="C238" t="n">
        <v>40</v>
      </c>
      <c r="D238" t="inlineStr">
        <is>
          <t>2026-01-30 18:41:00</t>
        </is>
      </c>
      <c r="E238" t="n">
        <v>499</v>
      </c>
      <c r="F238" t="inlineStr">
        <is>
          <t>Card</t>
        </is>
      </c>
      <c r="G238" t="inlineStr">
        <is>
          <t>captured</t>
        </is>
      </c>
      <c r="H238" t="n">
        <v>41</v>
      </c>
      <c r="I238">
        <f>IFERROR(VLOOKUP(C238, Merchants!$A$2:$D$41, 2, FALSE), "Merchant not found")</f>
        <v/>
      </c>
      <c r="J238">
        <f>IFERROR(VLOOKUP(C238, Merchants!$A$2:$D$41, 3, FALSE), "Merchant not found")</f>
        <v/>
      </c>
      <c r="K238">
        <f>IFERROR(VLOOKUP(C238, Merchants!$A$2:$D$41, 4, FALSE), "Merchant not found")</f>
        <v/>
      </c>
      <c r="L238">
        <f>HLOOKUP(F238, Fee_Tiers!$B$1:$E$2, 2, FALSE)</f>
        <v/>
      </c>
      <c r="M238">
        <f>IF(AND(E238&gt;5000, K238&lt;&gt;"&gt;East"), "High-Value Merchant Day", "Standard")</f>
        <v/>
      </c>
    </row>
    <row r="239">
      <c r="A239" t="inlineStr">
        <is>
          <t>TXN100237</t>
        </is>
      </c>
      <c r="B239" t="n">
        <v>78</v>
      </c>
      <c r="C239" t="n">
        <v>29</v>
      </c>
      <c r="D239" t="inlineStr">
        <is>
          <t>2026-01-28 20:20:00</t>
        </is>
      </c>
      <c r="E239" t="n">
        <v>149</v>
      </c>
      <c r="F239" t="inlineStr">
        <is>
          <t>UPI</t>
        </is>
      </c>
      <c r="G239" t="inlineStr">
        <is>
          <t>captured</t>
        </is>
      </c>
      <c r="H239" t="n">
        <v>8</v>
      </c>
      <c r="I239">
        <f>IFERROR(VLOOKUP(C239, Merchants!$A$2:$D$41, 2, FALSE), "Merchant not found")</f>
        <v/>
      </c>
      <c r="J239">
        <f>IFERROR(VLOOKUP(C239, Merchants!$A$2:$D$41, 3, FALSE), "Merchant not found")</f>
        <v/>
      </c>
      <c r="K239">
        <f>IFERROR(VLOOKUP(C239, Merchants!$A$2:$D$41, 4, FALSE), "Merchant not found")</f>
        <v/>
      </c>
      <c r="L239">
        <f>HLOOKUP(F239, Fee_Tiers!$B$1:$E$2, 2, FALSE)</f>
        <v/>
      </c>
      <c r="M239">
        <f>IF(AND(E239&gt;5000, K239&lt;&gt;"&gt;East"), "High-Value Merchant Day", "Standard")</f>
        <v/>
      </c>
    </row>
    <row r="240">
      <c r="A240" t="inlineStr">
        <is>
          <t>TXN100238</t>
        </is>
      </c>
      <c r="B240" t="n">
        <v>156</v>
      </c>
      <c r="C240" t="n">
        <v>18</v>
      </c>
      <c r="D240" t="inlineStr">
        <is>
          <t>2026-01-16 14:40:00</t>
        </is>
      </c>
      <c r="E240" t="n">
        <v>2999</v>
      </c>
      <c r="F240" t="inlineStr">
        <is>
          <t>Card</t>
        </is>
      </c>
      <c r="G240" t="inlineStr">
        <is>
          <t>captured</t>
        </is>
      </c>
      <c r="H240" t="n">
        <v>75</v>
      </c>
      <c r="I240">
        <f>IFERROR(VLOOKUP(C240, Merchants!$A$2:$D$41, 2, FALSE), "Merchant not found")</f>
        <v/>
      </c>
      <c r="J240">
        <f>IFERROR(VLOOKUP(C240, Merchants!$A$2:$D$41, 3, FALSE), "Merchant not found")</f>
        <v/>
      </c>
      <c r="K240">
        <f>IFERROR(VLOOKUP(C240, Merchants!$A$2:$D$41, 4, FALSE), "Merchant not found")</f>
        <v/>
      </c>
      <c r="L240">
        <f>HLOOKUP(F240, Fee_Tiers!$B$1:$E$2, 2, FALSE)</f>
        <v/>
      </c>
      <c r="M240">
        <f>IF(AND(E240&gt;5000, K240&lt;&gt;"&gt;East"), "High-Value Merchant Day", "Standard")</f>
        <v/>
      </c>
    </row>
    <row r="241">
      <c r="A241" t="inlineStr">
        <is>
          <t>TXN100239</t>
        </is>
      </c>
      <c r="B241" t="n">
        <v>38</v>
      </c>
      <c r="C241" t="n">
        <v>20</v>
      </c>
      <c r="D241" t="inlineStr">
        <is>
          <t>2026-01-02 11:32:00</t>
        </is>
      </c>
      <c r="E241" t="n">
        <v>49</v>
      </c>
      <c r="F241" t="inlineStr">
        <is>
          <t>Wallet</t>
        </is>
      </c>
      <c r="G241" t="inlineStr">
        <is>
          <t>failed</t>
        </is>
      </c>
      <c r="H241" t="n">
        <v>59</v>
      </c>
      <c r="I241">
        <f>IFERROR(VLOOKUP(C241, Merchants!$A$2:$D$41, 2, FALSE), "Merchant not found")</f>
        <v/>
      </c>
      <c r="J241">
        <f>IFERROR(VLOOKUP(C241, Merchants!$A$2:$D$41, 3, FALSE), "Merchant not found")</f>
        <v/>
      </c>
      <c r="K241">
        <f>IFERROR(VLOOKUP(C241, Merchants!$A$2:$D$41, 4, FALSE), "Merchant not found")</f>
        <v/>
      </c>
      <c r="L241">
        <f>HLOOKUP(F241, Fee_Tiers!$B$1:$E$2, 2, FALSE)</f>
        <v/>
      </c>
      <c r="M241">
        <f>IF(AND(E241&gt;5000, K241&lt;&gt;"&gt;East"), "High-Value Merchant Day", "Standard")</f>
        <v/>
      </c>
    </row>
    <row r="242">
      <c r="A242" t="inlineStr">
        <is>
          <t>TXN100240</t>
        </is>
      </c>
      <c r="B242" t="n">
        <v>189</v>
      </c>
      <c r="C242" t="n">
        <v>19</v>
      </c>
      <c r="D242" t="inlineStr">
        <is>
          <t>2026-01-15 01:03:00</t>
        </is>
      </c>
      <c r="E242" t="n">
        <v>99</v>
      </c>
      <c r="F242" t="inlineStr">
        <is>
          <t>UPI</t>
        </is>
      </c>
      <c r="G242" t="inlineStr">
        <is>
          <t>failed</t>
        </is>
      </c>
      <c r="H242" t="n">
        <v>9</v>
      </c>
      <c r="I242">
        <f>IFERROR(VLOOKUP(C242, Merchants!$A$2:$D$41, 2, FALSE), "Merchant not found")</f>
        <v/>
      </c>
      <c r="J242">
        <f>IFERROR(VLOOKUP(C242, Merchants!$A$2:$D$41, 3, FALSE), "Merchant not found")</f>
        <v/>
      </c>
      <c r="K242">
        <f>IFERROR(VLOOKUP(C242, Merchants!$A$2:$D$41, 4, FALSE), "Merchant not found")</f>
        <v/>
      </c>
      <c r="L242">
        <f>HLOOKUP(F242, Fee_Tiers!$B$1:$E$2, 2, FALSE)</f>
        <v/>
      </c>
      <c r="M242">
        <f>IF(AND(E242&gt;5000, K242&lt;&gt;"&gt;East"), "High-Value Merchant Day", "Standard")</f>
        <v/>
      </c>
    </row>
    <row r="243">
      <c r="A243" t="inlineStr">
        <is>
          <t>TXN100241</t>
        </is>
      </c>
      <c r="B243" t="n">
        <v>305</v>
      </c>
      <c r="C243" t="n">
        <v>33</v>
      </c>
      <c r="D243" t="inlineStr">
        <is>
          <t>2026-01-21 02:39:00</t>
        </is>
      </c>
      <c r="E243" t="n">
        <v>299</v>
      </c>
      <c r="F243" t="inlineStr">
        <is>
          <t>Card</t>
        </is>
      </c>
      <c r="G243" t="inlineStr">
        <is>
          <t>captured</t>
        </is>
      </c>
      <c r="H243" t="n">
        <v>49</v>
      </c>
      <c r="I243">
        <f>IFERROR(VLOOKUP(C243, Merchants!$A$2:$D$41, 2, FALSE), "Merchant not found")</f>
        <v/>
      </c>
      <c r="J243">
        <f>IFERROR(VLOOKUP(C243, Merchants!$A$2:$D$41, 3, FALSE), "Merchant not found")</f>
        <v/>
      </c>
      <c r="K243">
        <f>IFERROR(VLOOKUP(C243, Merchants!$A$2:$D$41, 4, FALSE), "Merchant not found")</f>
        <v/>
      </c>
      <c r="L243">
        <f>HLOOKUP(F243, Fee_Tiers!$B$1:$E$2, 2, FALSE)</f>
        <v/>
      </c>
      <c r="M243">
        <f>IF(AND(E243&gt;5000, K243&lt;&gt;"&gt;East"), "High-Value Merchant Day", "Standard")</f>
        <v/>
      </c>
    </row>
    <row r="244">
      <c r="A244" t="inlineStr">
        <is>
          <t>TXN100242</t>
        </is>
      </c>
      <c r="B244" t="n">
        <v>22</v>
      </c>
      <c r="C244" t="n">
        <v>29</v>
      </c>
      <c r="D244" t="inlineStr">
        <is>
          <t>2026-01-15 18:35:00</t>
        </is>
      </c>
      <c r="E244" t="n">
        <v>799</v>
      </c>
      <c r="F244" t="inlineStr">
        <is>
          <t>UPI</t>
        </is>
      </c>
      <c r="G244" t="inlineStr">
        <is>
          <t>captured</t>
        </is>
      </c>
      <c r="H244" t="n">
        <v>73</v>
      </c>
      <c r="I244">
        <f>IFERROR(VLOOKUP(C244, Merchants!$A$2:$D$41, 2, FALSE), "Merchant not found")</f>
        <v/>
      </c>
      <c r="J244">
        <f>IFERROR(VLOOKUP(C244, Merchants!$A$2:$D$41, 3, FALSE), "Merchant not found")</f>
        <v/>
      </c>
      <c r="K244">
        <f>IFERROR(VLOOKUP(C244, Merchants!$A$2:$D$41, 4, FALSE), "Merchant not found")</f>
        <v/>
      </c>
      <c r="L244">
        <f>HLOOKUP(F244, Fee_Tiers!$B$1:$E$2, 2, FALSE)</f>
        <v/>
      </c>
      <c r="M244">
        <f>IF(AND(E244&gt;5000, K244&lt;&gt;"&gt;East"), "High-Value Merchant Day", "Standard")</f>
        <v/>
      </c>
    </row>
    <row r="245">
      <c r="A245" t="inlineStr">
        <is>
          <t>TXN100243</t>
        </is>
      </c>
      <c r="B245" t="n">
        <v>310</v>
      </c>
      <c r="C245" t="n">
        <v>31</v>
      </c>
      <c r="D245" t="inlineStr">
        <is>
          <t>2026-01-21 06:20:00</t>
        </is>
      </c>
      <c r="E245" t="n">
        <v>49</v>
      </c>
      <c r="F245" t="inlineStr">
        <is>
          <t>Card</t>
        </is>
      </c>
      <c r="G245" t="inlineStr">
        <is>
          <t>captured</t>
        </is>
      </c>
      <c r="H245" t="n">
        <v>64</v>
      </c>
      <c r="I245">
        <f>IFERROR(VLOOKUP(C245, Merchants!$A$2:$D$41, 2, FALSE), "Merchant not found")</f>
        <v/>
      </c>
      <c r="J245">
        <f>IFERROR(VLOOKUP(C245, Merchants!$A$2:$D$41, 3, FALSE), "Merchant not found")</f>
        <v/>
      </c>
      <c r="K245">
        <f>IFERROR(VLOOKUP(C245, Merchants!$A$2:$D$41, 4, FALSE), "Merchant not found")</f>
        <v/>
      </c>
      <c r="L245">
        <f>HLOOKUP(F245, Fee_Tiers!$B$1:$E$2, 2, FALSE)</f>
        <v/>
      </c>
      <c r="M245">
        <f>IF(AND(E245&gt;5000, K245&lt;&gt;"&gt;East"), "High-Value Merchant Day", "Standard")</f>
        <v/>
      </c>
    </row>
    <row r="246">
      <c r="A246" t="inlineStr">
        <is>
          <t>TXN100244</t>
        </is>
      </c>
      <c r="B246" t="n">
        <v>53</v>
      </c>
      <c r="C246" t="n">
        <v>22</v>
      </c>
      <c r="D246" t="inlineStr">
        <is>
          <t>2026-01-05 01:28:00</t>
        </is>
      </c>
      <c r="E246" t="n">
        <v>299</v>
      </c>
      <c r="F246" t="inlineStr">
        <is>
          <t>UPI</t>
        </is>
      </c>
      <c r="G246" t="inlineStr">
        <is>
          <t>captured</t>
        </is>
      </c>
      <c r="H246" t="n">
        <v>91</v>
      </c>
      <c r="I246">
        <f>IFERROR(VLOOKUP(C246, Merchants!$A$2:$D$41, 2, FALSE), "Merchant not found")</f>
        <v/>
      </c>
      <c r="J246">
        <f>IFERROR(VLOOKUP(C246, Merchants!$A$2:$D$41, 3, FALSE), "Merchant not found")</f>
        <v/>
      </c>
      <c r="K246">
        <f>IFERROR(VLOOKUP(C246, Merchants!$A$2:$D$41, 4, FALSE), "Merchant not found")</f>
        <v/>
      </c>
      <c r="L246">
        <f>HLOOKUP(F246, Fee_Tiers!$B$1:$E$2, 2, FALSE)</f>
        <v/>
      </c>
      <c r="M246">
        <f>IF(AND(E246&gt;5000, K246&lt;&gt;"&gt;East"), "High-Value Merchant Day", "Standard")</f>
        <v/>
      </c>
    </row>
    <row r="247">
      <c r="A247" t="inlineStr">
        <is>
          <t>TXN100245</t>
        </is>
      </c>
      <c r="B247" t="n">
        <v>89</v>
      </c>
      <c r="C247" t="n">
        <v>3</v>
      </c>
      <c r="D247" t="inlineStr">
        <is>
          <t>2026-01-03 16:41:00</t>
        </is>
      </c>
      <c r="E247" t="n">
        <v>149</v>
      </c>
      <c r="F247" t="inlineStr">
        <is>
          <t>Card</t>
        </is>
      </c>
      <c r="G247" t="inlineStr">
        <is>
          <t>captured</t>
        </is>
      </c>
      <c r="H247" t="n">
        <v>31</v>
      </c>
      <c r="I247">
        <f>IFERROR(VLOOKUP(C247, Merchants!$A$2:$D$41, 2, FALSE), "Merchant not found")</f>
        <v/>
      </c>
      <c r="J247">
        <f>IFERROR(VLOOKUP(C247, Merchants!$A$2:$D$41, 3, FALSE), "Merchant not found")</f>
        <v/>
      </c>
      <c r="K247">
        <f>IFERROR(VLOOKUP(C247, Merchants!$A$2:$D$41, 4, FALSE), "Merchant not found")</f>
        <v/>
      </c>
      <c r="L247">
        <f>HLOOKUP(F247, Fee_Tiers!$B$1:$E$2, 2, FALSE)</f>
        <v/>
      </c>
      <c r="M247">
        <f>IF(AND(E247&gt;5000, K247&lt;&gt;"&gt;East"), "High-Value Merchant Day", "Standard")</f>
        <v/>
      </c>
    </row>
    <row r="248">
      <c r="A248" t="inlineStr">
        <is>
          <t>TXN100246</t>
        </is>
      </c>
      <c r="B248" t="n">
        <v>269</v>
      </c>
      <c r="C248" t="n">
        <v>34</v>
      </c>
      <c r="D248" t="inlineStr">
        <is>
          <t>2026-01-23 14:28:00</t>
        </is>
      </c>
      <c r="E248" t="n">
        <v>149</v>
      </c>
      <c r="F248" t="inlineStr">
        <is>
          <t>UPI</t>
        </is>
      </c>
      <c r="G248" t="inlineStr">
        <is>
          <t>captured</t>
        </is>
      </c>
      <c r="H248" t="n">
        <v>78</v>
      </c>
      <c r="I248">
        <f>IFERROR(VLOOKUP(C248, Merchants!$A$2:$D$41, 2, FALSE), "Merchant not found")</f>
        <v/>
      </c>
      <c r="J248">
        <f>IFERROR(VLOOKUP(C248, Merchants!$A$2:$D$41, 3, FALSE), "Merchant not found")</f>
        <v/>
      </c>
      <c r="K248">
        <f>IFERROR(VLOOKUP(C248, Merchants!$A$2:$D$41, 4, FALSE), "Merchant not found")</f>
        <v/>
      </c>
      <c r="L248">
        <f>HLOOKUP(F248, Fee_Tiers!$B$1:$E$2, 2, FALSE)</f>
        <v/>
      </c>
      <c r="M248">
        <f>IF(AND(E248&gt;5000, K248&lt;&gt;"&gt;East"), "High-Value Merchant Day", "Standard")</f>
        <v/>
      </c>
    </row>
    <row r="249">
      <c r="A249" t="inlineStr">
        <is>
          <t>TXN100247</t>
        </is>
      </c>
      <c r="B249" t="n">
        <v>145</v>
      </c>
      <c r="C249" t="n">
        <v>25</v>
      </c>
      <c r="D249" t="inlineStr">
        <is>
          <t>2026-01-06 11:23:00</t>
        </is>
      </c>
      <c r="E249" t="n">
        <v>799</v>
      </c>
      <c r="F249" t="inlineStr">
        <is>
          <t>UPI</t>
        </is>
      </c>
      <c r="G249" t="inlineStr">
        <is>
          <t>captured</t>
        </is>
      </c>
      <c r="H249" t="n">
        <v>52</v>
      </c>
      <c r="I249">
        <f>IFERROR(VLOOKUP(C249, Merchants!$A$2:$D$41, 2, FALSE), "Merchant not found")</f>
        <v/>
      </c>
      <c r="J249">
        <f>IFERROR(VLOOKUP(C249, Merchants!$A$2:$D$41, 3, FALSE), "Merchant not found")</f>
        <v/>
      </c>
      <c r="K249">
        <f>IFERROR(VLOOKUP(C249, Merchants!$A$2:$D$41, 4, FALSE), "Merchant not found")</f>
        <v/>
      </c>
      <c r="L249">
        <f>HLOOKUP(F249, Fee_Tiers!$B$1:$E$2, 2, FALSE)</f>
        <v/>
      </c>
      <c r="M249">
        <f>IF(AND(E249&gt;5000, K249&lt;&gt;"&gt;East"), "High-Value Merchant Day", "Standard")</f>
        <v/>
      </c>
    </row>
    <row r="250">
      <c r="A250" t="inlineStr">
        <is>
          <t>TXN100248</t>
        </is>
      </c>
      <c r="B250" t="n">
        <v>307</v>
      </c>
      <c r="C250" t="n">
        <v>4</v>
      </c>
      <c r="D250" t="inlineStr">
        <is>
          <t>2026-01-25 10:43:00</t>
        </is>
      </c>
      <c r="E250" t="n">
        <v>1499</v>
      </c>
      <c r="F250" t="inlineStr">
        <is>
          <t>UPI</t>
        </is>
      </c>
      <c r="G250" t="inlineStr">
        <is>
          <t>captured</t>
        </is>
      </c>
      <c r="H250" t="n">
        <v>80</v>
      </c>
      <c r="I250">
        <f>IFERROR(VLOOKUP(C250, Merchants!$A$2:$D$41, 2, FALSE), "Merchant not found")</f>
        <v/>
      </c>
      <c r="J250">
        <f>IFERROR(VLOOKUP(C250, Merchants!$A$2:$D$41, 3, FALSE), "Merchant not found")</f>
        <v/>
      </c>
      <c r="K250">
        <f>IFERROR(VLOOKUP(C250, Merchants!$A$2:$D$41, 4, FALSE), "Merchant not found")</f>
        <v/>
      </c>
      <c r="L250">
        <f>HLOOKUP(F250, Fee_Tiers!$B$1:$E$2, 2, FALSE)</f>
        <v/>
      </c>
      <c r="M250">
        <f>IF(AND(E250&gt;5000, K250&lt;&gt;"&gt;East"), "High-Value Merchant Day", "Standard")</f>
        <v/>
      </c>
    </row>
    <row r="251">
      <c r="A251" t="inlineStr">
        <is>
          <t>TXN100249</t>
        </is>
      </c>
      <c r="B251" t="n">
        <v>169</v>
      </c>
      <c r="C251" t="n">
        <v>7</v>
      </c>
      <c r="D251" t="inlineStr">
        <is>
          <t>2026-01-21 10:04:00</t>
        </is>
      </c>
      <c r="E251" t="n">
        <v>1499</v>
      </c>
      <c r="F251" t="inlineStr">
        <is>
          <t>Wallet</t>
        </is>
      </c>
      <c r="G251" t="inlineStr">
        <is>
          <t>captured</t>
        </is>
      </c>
      <c r="H251" t="n">
        <v>71</v>
      </c>
      <c r="I251">
        <f>IFERROR(VLOOKUP(C251, Merchants!$A$2:$D$41, 2, FALSE), "Merchant not found")</f>
        <v/>
      </c>
      <c r="J251">
        <f>IFERROR(VLOOKUP(C251, Merchants!$A$2:$D$41, 3, FALSE), "Merchant not found")</f>
        <v/>
      </c>
      <c r="K251">
        <f>IFERROR(VLOOKUP(C251, Merchants!$A$2:$D$41, 4, FALSE), "Merchant not found")</f>
        <v/>
      </c>
      <c r="L251">
        <f>HLOOKUP(F251, Fee_Tiers!$B$1:$E$2, 2, FALSE)</f>
        <v/>
      </c>
      <c r="M251">
        <f>IF(AND(E251&gt;5000, K251&lt;&gt;"&gt;East"), "High-Value Merchant Day", "Standard")</f>
        <v/>
      </c>
    </row>
    <row r="252">
      <c r="A252" t="inlineStr">
        <is>
          <t>TXN100250</t>
        </is>
      </c>
      <c r="B252" t="n">
        <v>130</v>
      </c>
      <c r="C252" t="n">
        <v>39</v>
      </c>
      <c r="D252" t="inlineStr">
        <is>
          <t>2026-01-22 12:18:00</t>
        </is>
      </c>
      <c r="E252" t="n">
        <v>2999</v>
      </c>
      <c r="F252" t="inlineStr">
        <is>
          <t>Wallet</t>
        </is>
      </c>
      <c r="G252" t="inlineStr">
        <is>
          <t>captured</t>
        </is>
      </c>
      <c r="H252" t="n">
        <v>19</v>
      </c>
      <c r="I252">
        <f>IFERROR(VLOOKUP(C252, Merchants!$A$2:$D$41, 2, FALSE), "Merchant not found")</f>
        <v/>
      </c>
      <c r="J252">
        <f>IFERROR(VLOOKUP(C252, Merchants!$A$2:$D$41, 3, FALSE), "Merchant not found")</f>
        <v/>
      </c>
      <c r="K252">
        <f>IFERROR(VLOOKUP(C252, Merchants!$A$2:$D$41, 4, FALSE), "Merchant not found")</f>
        <v/>
      </c>
      <c r="L252">
        <f>HLOOKUP(F252, Fee_Tiers!$B$1:$E$2, 2, FALSE)</f>
        <v/>
      </c>
      <c r="M252">
        <f>IF(AND(E252&gt;5000, K252&lt;&gt;"&gt;East"), "High-Value Merchant Day", "Standard")</f>
        <v/>
      </c>
    </row>
    <row r="253">
      <c r="A253" t="inlineStr">
        <is>
          <t>TXN100251</t>
        </is>
      </c>
      <c r="B253" t="n">
        <v>340</v>
      </c>
      <c r="C253" t="n">
        <v>10</v>
      </c>
      <c r="D253" t="inlineStr">
        <is>
          <t>2026-01-11 02:37:00</t>
        </is>
      </c>
      <c r="E253" t="n">
        <v>49</v>
      </c>
      <c r="F253" t="inlineStr">
        <is>
          <t>Card</t>
        </is>
      </c>
      <c r="G253" t="inlineStr">
        <is>
          <t>captured</t>
        </is>
      </c>
      <c r="H253" t="n">
        <v>44</v>
      </c>
      <c r="I253">
        <f>IFERROR(VLOOKUP(C253, Merchants!$A$2:$D$41, 2, FALSE), "Merchant not found")</f>
        <v/>
      </c>
      <c r="J253">
        <f>IFERROR(VLOOKUP(C253, Merchants!$A$2:$D$41, 3, FALSE), "Merchant not found")</f>
        <v/>
      </c>
      <c r="K253">
        <f>IFERROR(VLOOKUP(C253, Merchants!$A$2:$D$41, 4, FALSE), "Merchant not found")</f>
        <v/>
      </c>
      <c r="L253">
        <f>HLOOKUP(F253, Fee_Tiers!$B$1:$E$2, 2, FALSE)</f>
        <v/>
      </c>
      <c r="M253">
        <f>IF(AND(E253&gt;5000, K253&lt;&gt;"&gt;East"), "High-Value Merchant Day", "Standard")</f>
        <v/>
      </c>
    </row>
    <row r="254">
      <c r="A254" t="inlineStr">
        <is>
          <t>TXN100252</t>
        </is>
      </c>
      <c r="B254" t="n">
        <v>340</v>
      </c>
      <c r="C254" t="n">
        <v>26</v>
      </c>
      <c r="D254" t="inlineStr">
        <is>
          <t>2026-01-10 20:44:00</t>
        </is>
      </c>
      <c r="E254" t="n">
        <v>299</v>
      </c>
      <c r="F254" t="inlineStr">
        <is>
          <t>Card</t>
        </is>
      </c>
      <c r="G254" t="inlineStr">
        <is>
          <t>captured</t>
        </is>
      </c>
      <c r="H254" t="n">
        <v>16</v>
      </c>
      <c r="I254">
        <f>IFERROR(VLOOKUP(C254, Merchants!$A$2:$D$41, 2, FALSE), "Merchant not found")</f>
        <v/>
      </c>
      <c r="J254">
        <f>IFERROR(VLOOKUP(C254, Merchants!$A$2:$D$41, 3, FALSE), "Merchant not found")</f>
        <v/>
      </c>
      <c r="K254">
        <f>IFERROR(VLOOKUP(C254, Merchants!$A$2:$D$41, 4, FALSE), "Merchant not found")</f>
        <v/>
      </c>
      <c r="L254">
        <f>HLOOKUP(F254, Fee_Tiers!$B$1:$E$2, 2, FALSE)</f>
        <v/>
      </c>
      <c r="M254">
        <f>IF(AND(E254&gt;5000, K254&lt;&gt;"&gt;East"), "High-Value Merchant Day", "Standard")</f>
        <v/>
      </c>
    </row>
    <row r="255">
      <c r="A255" t="inlineStr">
        <is>
          <t>TXN100253</t>
        </is>
      </c>
      <c r="B255" t="n">
        <v>159</v>
      </c>
      <c r="C255" t="n">
        <v>36</v>
      </c>
      <c r="D255" t="inlineStr">
        <is>
          <t>2026-01-20 22:05:00</t>
        </is>
      </c>
      <c r="E255" t="n">
        <v>49</v>
      </c>
      <c r="F255" t="inlineStr">
        <is>
          <t>UPI</t>
        </is>
      </c>
      <c r="G255" t="inlineStr">
        <is>
          <t>captured</t>
        </is>
      </c>
      <c r="H255" t="n">
        <v>48</v>
      </c>
      <c r="I255">
        <f>IFERROR(VLOOKUP(C255, Merchants!$A$2:$D$41, 2, FALSE), "Merchant not found")</f>
        <v/>
      </c>
      <c r="J255">
        <f>IFERROR(VLOOKUP(C255, Merchants!$A$2:$D$41, 3, FALSE), "Merchant not found")</f>
        <v/>
      </c>
      <c r="K255">
        <f>IFERROR(VLOOKUP(C255, Merchants!$A$2:$D$41, 4, FALSE), "Merchant not found")</f>
        <v/>
      </c>
      <c r="L255">
        <f>HLOOKUP(F255, Fee_Tiers!$B$1:$E$2, 2, FALSE)</f>
        <v/>
      </c>
      <c r="M255">
        <f>IF(AND(E255&gt;5000, K255&lt;&gt;"&gt;East"), "High-Value Merchant Day", "Standard")</f>
        <v/>
      </c>
    </row>
    <row r="256">
      <c r="A256" t="inlineStr">
        <is>
          <t>TXN100254</t>
        </is>
      </c>
      <c r="B256" t="n">
        <v>66</v>
      </c>
      <c r="C256" t="n">
        <v>34</v>
      </c>
      <c r="D256" t="inlineStr">
        <is>
          <t>2026-01-21 10:52:00</t>
        </is>
      </c>
      <c r="E256" t="n">
        <v>799</v>
      </c>
      <c r="F256" t="inlineStr">
        <is>
          <t>UPI</t>
        </is>
      </c>
      <c r="G256" t="inlineStr">
        <is>
          <t>captured</t>
        </is>
      </c>
      <c r="H256" t="n">
        <v>11</v>
      </c>
      <c r="I256">
        <f>IFERROR(VLOOKUP(C256, Merchants!$A$2:$D$41, 2, FALSE), "Merchant not found")</f>
        <v/>
      </c>
      <c r="J256">
        <f>IFERROR(VLOOKUP(C256, Merchants!$A$2:$D$41, 3, FALSE), "Merchant not found")</f>
        <v/>
      </c>
      <c r="K256">
        <f>IFERROR(VLOOKUP(C256, Merchants!$A$2:$D$41, 4, FALSE), "Merchant not found")</f>
        <v/>
      </c>
      <c r="L256">
        <f>HLOOKUP(F256, Fee_Tiers!$B$1:$E$2, 2, FALSE)</f>
        <v/>
      </c>
      <c r="M256">
        <f>IF(AND(E256&gt;5000, K256&lt;&gt;"&gt;East"), "High-Value Merchant Day", "Standard")</f>
        <v/>
      </c>
    </row>
    <row r="257">
      <c r="A257" t="inlineStr">
        <is>
          <t>TXN100255</t>
        </is>
      </c>
      <c r="B257" t="n">
        <v>261</v>
      </c>
      <c r="C257" t="n">
        <v>24</v>
      </c>
      <c r="D257" t="inlineStr">
        <is>
          <t>2026-01-21 21:27:00</t>
        </is>
      </c>
      <c r="E257" t="n">
        <v>799</v>
      </c>
      <c r="F257" t="inlineStr">
        <is>
          <t>Card</t>
        </is>
      </c>
      <c r="G257" t="inlineStr">
        <is>
          <t>captured</t>
        </is>
      </c>
      <c r="H257" t="n">
        <v>2</v>
      </c>
      <c r="I257">
        <f>IFERROR(VLOOKUP(C257, Merchants!$A$2:$D$41, 2, FALSE), "Merchant not found")</f>
        <v/>
      </c>
      <c r="J257">
        <f>IFERROR(VLOOKUP(C257, Merchants!$A$2:$D$41, 3, FALSE), "Merchant not found")</f>
        <v/>
      </c>
      <c r="K257">
        <f>IFERROR(VLOOKUP(C257, Merchants!$A$2:$D$41, 4, FALSE), "Merchant not found")</f>
        <v/>
      </c>
      <c r="L257">
        <f>HLOOKUP(F257, Fee_Tiers!$B$1:$E$2, 2, FALSE)</f>
        <v/>
      </c>
      <c r="M257">
        <f>IF(AND(E257&gt;5000, K257&lt;&gt;"&gt;East"), "High-Value Merchant Day", "Standard")</f>
        <v/>
      </c>
    </row>
    <row r="258">
      <c r="A258" t="inlineStr">
        <is>
          <t>TXN100256</t>
        </is>
      </c>
      <c r="B258" t="n">
        <v>110</v>
      </c>
      <c r="C258" t="n">
        <v>22</v>
      </c>
      <c r="D258" t="inlineStr">
        <is>
          <t>2026-01-12 09:11:00</t>
        </is>
      </c>
      <c r="E258" t="n">
        <v>799</v>
      </c>
      <c r="F258" t="inlineStr">
        <is>
          <t>UPI</t>
        </is>
      </c>
      <c r="G258" t="inlineStr">
        <is>
          <t>captured</t>
        </is>
      </c>
      <c r="H258" t="n">
        <v>98</v>
      </c>
      <c r="I258">
        <f>IFERROR(VLOOKUP(C258, Merchants!$A$2:$D$41, 2, FALSE), "Merchant not found")</f>
        <v/>
      </c>
      <c r="J258">
        <f>IFERROR(VLOOKUP(C258, Merchants!$A$2:$D$41, 3, FALSE), "Merchant not found")</f>
        <v/>
      </c>
      <c r="K258">
        <f>IFERROR(VLOOKUP(C258, Merchants!$A$2:$D$41, 4, FALSE), "Merchant not found")</f>
        <v/>
      </c>
      <c r="L258">
        <f>HLOOKUP(F258, Fee_Tiers!$B$1:$E$2, 2, FALSE)</f>
        <v/>
      </c>
      <c r="M258">
        <f>IF(AND(E258&gt;5000, K258&lt;&gt;"&gt;East"), "High-Value Merchant Day", "Standard")</f>
        <v/>
      </c>
    </row>
    <row r="259">
      <c r="A259" t="inlineStr">
        <is>
          <t>TXN100257</t>
        </is>
      </c>
      <c r="B259" t="n">
        <v>71</v>
      </c>
      <c r="C259" t="n">
        <v>10</v>
      </c>
      <c r="D259" t="inlineStr">
        <is>
          <t>2026-01-16 06:14:00</t>
        </is>
      </c>
      <c r="E259" t="n">
        <v>49</v>
      </c>
      <c r="F259" t="inlineStr">
        <is>
          <t>UPI</t>
        </is>
      </c>
      <c r="G259" t="inlineStr">
        <is>
          <t>captured</t>
        </is>
      </c>
      <c r="H259" t="n">
        <v>9</v>
      </c>
      <c r="I259">
        <f>IFERROR(VLOOKUP(C259, Merchants!$A$2:$D$41, 2, FALSE), "Merchant not found")</f>
        <v/>
      </c>
      <c r="J259">
        <f>IFERROR(VLOOKUP(C259, Merchants!$A$2:$D$41, 3, FALSE), "Merchant not found")</f>
        <v/>
      </c>
      <c r="K259">
        <f>IFERROR(VLOOKUP(C259, Merchants!$A$2:$D$41, 4, FALSE), "Merchant not found")</f>
        <v/>
      </c>
      <c r="L259">
        <f>HLOOKUP(F259, Fee_Tiers!$B$1:$E$2, 2, FALSE)</f>
        <v/>
      </c>
      <c r="M259">
        <f>IF(AND(E259&gt;5000, K259&lt;&gt;"&gt;East"), "High-Value Merchant Day", "Standard")</f>
        <v/>
      </c>
    </row>
    <row r="260">
      <c r="A260" t="inlineStr">
        <is>
          <t>TXN100258</t>
        </is>
      </c>
      <c r="B260" t="n">
        <v>277</v>
      </c>
      <c r="C260" t="n">
        <v>34</v>
      </c>
      <c r="D260" t="inlineStr">
        <is>
          <t>2026-01-10 03:32:00</t>
        </is>
      </c>
      <c r="E260" t="n">
        <v>49</v>
      </c>
      <c r="F260" t="inlineStr">
        <is>
          <t>UPI</t>
        </is>
      </c>
      <c r="G260" t="inlineStr">
        <is>
          <t>captured</t>
        </is>
      </c>
      <c r="H260" t="n">
        <v>4</v>
      </c>
      <c r="I260">
        <f>IFERROR(VLOOKUP(C260, Merchants!$A$2:$D$41, 2, FALSE), "Merchant not found")</f>
        <v/>
      </c>
      <c r="J260">
        <f>IFERROR(VLOOKUP(C260, Merchants!$A$2:$D$41, 3, FALSE), "Merchant not found")</f>
        <v/>
      </c>
      <c r="K260">
        <f>IFERROR(VLOOKUP(C260, Merchants!$A$2:$D$41, 4, FALSE), "Merchant not found")</f>
        <v/>
      </c>
      <c r="L260">
        <f>HLOOKUP(F260, Fee_Tiers!$B$1:$E$2, 2, FALSE)</f>
        <v/>
      </c>
      <c r="M260">
        <f>IF(AND(E260&gt;5000, K260&lt;&gt;"&gt;East"), "High-Value Merchant Day", "Standard")</f>
        <v/>
      </c>
    </row>
    <row r="261">
      <c r="A261" t="inlineStr">
        <is>
          <t>TXN100259</t>
        </is>
      </c>
      <c r="B261" t="n">
        <v>317</v>
      </c>
      <c r="C261" t="n">
        <v>9</v>
      </c>
      <c r="D261" t="inlineStr">
        <is>
          <t>2026-01-22 10:56:00</t>
        </is>
      </c>
      <c r="E261" t="n">
        <v>499</v>
      </c>
      <c r="F261" t="inlineStr">
        <is>
          <t>Wallet</t>
        </is>
      </c>
      <c r="G261" t="inlineStr">
        <is>
          <t>captured</t>
        </is>
      </c>
      <c r="H261" t="n">
        <v>76</v>
      </c>
      <c r="I261">
        <f>IFERROR(VLOOKUP(C261, Merchants!$A$2:$D$41, 2, FALSE), "Merchant not found")</f>
        <v/>
      </c>
      <c r="J261">
        <f>IFERROR(VLOOKUP(C261, Merchants!$A$2:$D$41, 3, FALSE), "Merchant not found")</f>
        <v/>
      </c>
      <c r="K261">
        <f>IFERROR(VLOOKUP(C261, Merchants!$A$2:$D$41, 4, FALSE), "Merchant not found")</f>
        <v/>
      </c>
      <c r="L261">
        <f>HLOOKUP(F261, Fee_Tiers!$B$1:$E$2, 2, FALSE)</f>
        <v/>
      </c>
      <c r="M261">
        <f>IF(AND(E261&gt;5000, K261&lt;&gt;"&gt;East"), "High-Value Merchant Day", "Standard")</f>
        <v/>
      </c>
    </row>
    <row r="262">
      <c r="A262" t="inlineStr">
        <is>
          <t>TXN100260</t>
        </is>
      </c>
      <c r="B262" t="n">
        <v>93</v>
      </c>
      <c r="C262" t="n">
        <v>40</v>
      </c>
      <c r="D262" t="inlineStr">
        <is>
          <t>2026-01-13 04:10:00</t>
        </is>
      </c>
      <c r="E262" t="n">
        <v>299</v>
      </c>
      <c r="F262" t="inlineStr">
        <is>
          <t>UPI</t>
        </is>
      </c>
      <c r="G262" t="inlineStr">
        <is>
          <t>captured</t>
        </is>
      </c>
      <c r="H262" t="n">
        <v>21</v>
      </c>
      <c r="I262">
        <f>IFERROR(VLOOKUP(C262, Merchants!$A$2:$D$41, 2, FALSE), "Merchant not found")</f>
        <v/>
      </c>
      <c r="J262">
        <f>IFERROR(VLOOKUP(C262, Merchants!$A$2:$D$41, 3, FALSE), "Merchant not found")</f>
        <v/>
      </c>
      <c r="K262">
        <f>IFERROR(VLOOKUP(C262, Merchants!$A$2:$D$41, 4, FALSE), "Merchant not found")</f>
        <v/>
      </c>
      <c r="L262">
        <f>HLOOKUP(F262, Fee_Tiers!$B$1:$E$2, 2, FALSE)</f>
        <v/>
      </c>
      <c r="M262">
        <f>IF(AND(E262&gt;5000, K262&lt;&gt;"&gt;East"), "High-Value Merchant Day", "Standard")</f>
        <v/>
      </c>
    </row>
    <row r="263">
      <c r="A263" t="inlineStr">
        <is>
          <t>TXN100261</t>
        </is>
      </c>
      <c r="B263" t="n">
        <v>211</v>
      </c>
      <c r="C263" t="n">
        <v>24</v>
      </c>
      <c r="D263" t="inlineStr">
        <is>
          <t>2026-01-24 14:02:00</t>
        </is>
      </c>
      <c r="E263" t="n">
        <v>99</v>
      </c>
      <c r="F263" t="inlineStr">
        <is>
          <t>Netbanking</t>
        </is>
      </c>
      <c r="G263" t="inlineStr">
        <is>
          <t>captured</t>
        </is>
      </c>
      <c r="H263" t="n">
        <v>86</v>
      </c>
      <c r="I263">
        <f>IFERROR(VLOOKUP(C263, Merchants!$A$2:$D$41, 2, FALSE), "Merchant not found")</f>
        <v/>
      </c>
      <c r="J263">
        <f>IFERROR(VLOOKUP(C263, Merchants!$A$2:$D$41, 3, FALSE), "Merchant not found")</f>
        <v/>
      </c>
      <c r="K263">
        <f>IFERROR(VLOOKUP(C263, Merchants!$A$2:$D$41, 4, FALSE), "Merchant not found")</f>
        <v/>
      </c>
      <c r="L263">
        <f>HLOOKUP(F263, Fee_Tiers!$B$1:$E$2, 2, FALSE)</f>
        <v/>
      </c>
      <c r="M263">
        <f>IF(AND(E263&gt;5000, K263&lt;&gt;"&gt;East"), "High-Value Merchant Day", "Standard")</f>
        <v/>
      </c>
    </row>
    <row r="264">
      <c r="A264" t="inlineStr">
        <is>
          <t>TXN100262</t>
        </is>
      </c>
      <c r="B264" t="n">
        <v>313</v>
      </c>
      <c r="C264" t="n">
        <v>19</v>
      </c>
      <c r="D264" t="inlineStr">
        <is>
          <t>2026-01-24 07:28:00</t>
        </is>
      </c>
      <c r="E264" t="n">
        <v>149</v>
      </c>
      <c r="F264" t="inlineStr">
        <is>
          <t>UPI</t>
        </is>
      </c>
      <c r="G264" t="inlineStr">
        <is>
          <t>captured</t>
        </is>
      </c>
      <c r="H264" t="n">
        <v>96</v>
      </c>
      <c r="I264">
        <f>IFERROR(VLOOKUP(C264, Merchants!$A$2:$D$41, 2, FALSE), "Merchant not found")</f>
        <v/>
      </c>
      <c r="J264">
        <f>IFERROR(VLOOKUP(C264, Merchants!$A$2:$D$41, 3, FALSE), "Merchant not found")</f>
        <v/>
      </c>
      <c r="K264">
        <f>IFERROR(VLOOKUP(C264, Merchants!$A$2:$D$41, 4, FALSE), "Merchant not found")</f>
        <v/>
      </c>
      <c r="L264">
        <f>HLOOKUP(F264, Fee_Tiers!$B$1:$E$2, 2, FALSE)</f>
        <v/>
      </c>
      <c r="M264">
        <f>IF(AND(E264&gt;5000, K264&lt;&gt;"&gt;East"), "High-Value Merchant Day", "Standard")</f>
        <v/>
      </c>
    </row>
    <row r="265">
      <c r="A265" t="inlineStr">
        <is>
          <t>TXN100263</t>
        </is>
      </c>
      <c r="B265" t="n">
        <v>274</v>
      </c>
      <c r="C265" t="n">
        <v>16</v>
      </c>
      <c r="D265" t="inlineStr">
        <is>
          <t>2026-01-24 14:14:00</t>
        </is>
      </c>
      <c r="E265" t="n">
        <v>49</v>
      </c>
      <c r="F265" t="inlineStr">
        <is>
          <t>Wallet</t>
        </is>
      </c>
      <c r="G265" t="inlineStr">
        <is>
          <t>failed</t>
        </is>
      </c>
      <c r="H265" t="n">
        <v>39</v>
      </c>
      <c r="I265">
        <f>IFERROR(VLOOKUP(C265, Merchants!$A$2:$D$41, 2, FALSE), "Merchant not found")</f>
        <v/>
      </c>
      <c r="J265">
        <f>IFERROR(VLOOKUP(C265, Merchants!$A$2:$D$41, 3, FALSE), "Merchant not found")</f>
        <v/>
      </c>
      <c r="K265">
        <f>IFERROR(VLOOKUP(C265, Merchants!$A$2:$D$41, 4, FALSE), "Merchant not found")</f>
        <v/>
      </c>
      <c r="L265">
        <f>HLOOKUP(F265, Fee_Tiers!$B$1:$E$2, 2, FALSE)</f>
        <v/>
      </c>
      <c r="M265">
        <f>IF(AND(E265&gt;5000, K265&lt;&gt;"&gt;East"), "High-Value Merchant Day", "Standard")</f>
        <v/>
      </c>
    </row>
    <row r="266">
      <c r="A266" t="inlineStr">
        <is>
          <t>TXN100264</t>
        </is>
      </c>
      <c r="B266" t="n">
        <v>100</v>
      </c>
      <c r="C266" t="n">
        <v>24</v>
      </c>
      <c r="D266" t="inlineStr">
        <is>
          <t>2026-01-26 15:57:00</t>
        </is>
      </c>
      <c r="E266" t="n">
        <v>299</v>
      </c>
      <c r="F266" t="inlineStr">
        <is>
          <t>UPI</t>
        </is>
      </c>
      <c r="G266" t="inlineStr">
        <is>
          <t>captured</t>
        </is>
      </c>
      <c r="H266" t="n">
        <v>86</v>
      </c>
      <c r="I266">
        <f>IFERROR(VLOOKUP(C266, Merchants!$A$2:$D$41, 2, FALSE), "Merchant not found")</f>
        <v/>
      </c>
      <c r="J266">
        <f>IFERROR(VLOOKUP(C266, Merchants!$A$2:$D$41, 3, FALSE), "Merchant not found")</f>
        <v/>
      </c>
      <c r="K266">
        <f>IFERROR(VLOOKUP(C266, Merchants!$A$2:$D$41, 4, FALSE), "Merchant not found")</f>
        <v/>
      </c>
      <c r="L266">
        <f>HLOOKUP(F266, Fee_Tiers!$B$1:$E$2, 2, FALSE)</f>
        <v/>
      </c>
      <c r="M266">
        <f>IF(AND(E266&gt;5000, K266&lt;&gt;"&gt;East"), "High-Value Merchant Day", "Standard")</f>
        <v/>
      </c>
    </row>
    <row r="267">
      <c r="A267" t="inlineStr">
        <is>
          <t>TXN100265</t>
        </is>
      </c>
      <c r="B267" t="n">
        <v>145</v>
      </c>
      <c r="C267" t="n">
        <v>25</v>
      </c>
      <c r="D267" t="inlineStr">
        <is>
          <t>2026-01-19 14:29:00</t>
        </is>
      </c>
      <c r="E267" t="n">
        <v>2999</v>
      </c>
      <c r="F267" t="inlineStr">
        <is>
          <t>Wallet</t>
        </is>
      </c>
      <c r="G267" t="inlineStr">
        <is>
          <t>captured</t>
        </is>
      </c>
      <c r="H267" t="n">
        <v>64</v>
      </c>
      <c r="I267">
        <f>IFERROR(VLOOKUP(C267, Merchants!$A$2:$D$41, 2, FALSE), "Merchant not found")</f>
        <v/>
      </c>
      <c r="J267">
        <f>IFERROR(VLOOKUP(C267, Merchants!$A$2:$D$41, 3, FALSE), "Merchant not found")</f>
        <v/>
      </c>
      <c r="K267">
        <f>IFERROR(VLOOKUP(C267, Merchants!$A$2:$D$41, 4, FALSE), "Merchant not found")</f>
        <v/>
      </c>
      <c r="L267">
        <f>HLOOKUP(F267, Fee_Tiers!$B$1:$E$2, 2, FALSE)</f>
        <v/>
      </c>
      <c r="M267">
        <f>IF(AND(E267&gt;5000, K267&lt;&gt;"&gt;East"), "High-Value Merchant Day", "Standard")</f>
        <v/>
      </c>
    </row>
    <row r="268">
      <c r="A268" t="inlineStr">
        <is>
          <t>TXN100266</t>
        </is>
      </c>
      <c r="B268" t="n">
        <v>103</v>
      </c>
      <c r="C268" t="n">
        <v>39</v>
      </c>
      <c r="D268" t="inlineStr">
        <is>
          <t>2026-01-17 13:10:00</t>
        </is>
      </c>
      <c r="E268" t="n">
        <v>2999</v>
      </c>
      <c r="F268" t="inlineStr">
        <is>
          <t>Wallet</t>
        </is>
      </c>
      <c r="G268" t="inlineStr">
        <is>
          <t>captured</t>
        </is>
      </c>
      <c r="H268" t="n">
        <v>17</v>
      </c>
      <c r="I268">
        <f>IFERROR(VLOOKUP(C268, Merchants!$A$2:$D$41, 2, FALSE), "Merchant not found")</f>
        <v/>
      </c>
      <c r="J268">
        <f>IFERROR(VLOOKUP(C268, Merchants!$A$2:$D$41, 3, FALSE), "Merchant not found")</f>
        <v/>
      </c>
      <c r="K268">
        <f>IFERROR(VLOOKUP(C268, Merchants!$A$2:$D$41, 4, FALSE), "Merchant not found")</f>
        <v/>
      </c>
      <c r="L268">
        <f>HLOOKUP(F268, Fee_Tiers!$B$1:$E$2, 2, FALSE)</f>
        <v/>
      </c>
      <c r="M268">
        <f>IF(AND(E268&gt;5000, K268&lt;&gt;"&gt;East"), "High-Value Merchant Day", "Standard")</f>
        <v/>
      </c>
    </row>
    <row r="269">
      <c r="A269" t="inlineStr">
        <is>
          <t>TXN100267</t>
        </is>
      </c>
      <c r="B269" t="n">
        <v>329</v>
      </c>
      <c r="C269" t="n">
        <v>31</v>
      </c>
      <c r="D269" t="inlineStr">
        <is>
          <t>2026-01-28 08:03:00</t>
        </is>
      </c>
      <c r="E269" t="n">
        <v>299</v>
      </c>
      <c r="F269" t="inlineStr">
        <is>
          <t>Wallet</t>
        </is>
      </c>
      <c r="G269" t="inlineStr">
        <is>
          <t>captured</t>
        </is>
      </c>
      <c r="H269" t="n">
        <v>47</v>
      </c>
      <c r="I269">
        <f>IFERROR(VLOOKUP(C269, Merchants!$A$2:$D$41, 2, FALSE), "Merchant not found")</f>
        <v/>
      </c>
      <c r="J269">
        <f>IFERROR(VLOOKUP(C269, Merchants!$A$2:$D$41, 3, FALSE), "Merchant not found")</f>
        <v/>
      </c>
      <c r="K269">
        <f>IFERROR(VLOOKUP(C269, Merchants!$A$2:$D$41, 4, FALSE), "Merchant not found")</f>
        <v/>
      </c>
      <c r="L269">
        <f>HLOOKUP(F269, Fee_Tiers!$B$1:$E$2, 2, FALSE)</f>
        <v/>
      </c>
      <c r="M269">
        <f>IF(AND(E269&gt;5000, K269&lt;&gt;"&gt;East"), "High-Value Merchant Day", "Standard")</f>
        <v/>
      </c>
    </row>
    <row r="270">
      <c r="A270" t="inlineStr">
        <is>
          <t>TXN100268</t>
        </is>
      </c>
      <c r="B270" t="n">
        <v>265</v>
      </c>
      <c r="C270" t="n">
        <v>8</v>
      </c>
      <c r="D270" t="inlineStr">
        <is>
          <t>2026-01-18 03:45:00</t>
        </is>
      </c>
      <c r="E270" t="n">
        <v>499</v>
      </c>
      <c r="F270" t="inlineStr">
        <is>
          <t>Netbanking</t>
        </is>
      </c>
      <c r="G270" t="inlineStr">
        <is>
          <t>captured</t>
        </is>
      </c>
      <c r="H270" t="n">
        <v>36</v>
      </c>
      <c r="I270">
        <f>IFERROR(VLOOKUP(C270, Merchants!$A$2:$D$41, 2, FALSE), "Merchant not found")</f>
        <v/>
      </c>
      <c r="J270">
        <f>IFERROR(VLOOKUP(C270, Merchants!$A$2:$D$41, 3, FALSE), "Merchant not found")</f>
        <v/>
      </c>
      <c r="K270">
        <f>IFERROR(VLOOKUP(C270, Merchants!$A$2:$D$41, 4, FALSE), "Merchant not found")</f>
        <v/>
      </c>
      <c r="L270">
        <f>HLOOKUP(F270, Fee_Tiers!$B$1:$E$2, 2, FALSE)</f>
        <v/>
      </c>
      <c r="M270">
        <f>IF(AND(E270&gt;5000, K270&lt;&gt;"&gt;East"), "High-Value Merchant Day", "Standard")</f>
        <v/>
      </c>
    </row>
    <row r="271">
      <c r="A271" t="inlineStr">
        <is>
          <t>TXN100269</t>
        </is>
      </c>
      <c r="B271" t="n">
        <v>231</v>
      </c>
      <c r="C271" t="n">
        <v>33</v>
      </c>
      <c r="D271" t="inlineStr">
        <is>
          <t>2026-01-03 05:17:00</t>
        </is>
      </c>
      <c r="E271" t="n">
        <v>149</v>
      </c>
      <c r="F271" t="inlineStr">
        <is>
          <t>UPI</t>
        </is>
      </c>
      <c r="G271" t="inlineStr">
        <is>
          <t>failed</t>
        </is>
      </c>
      <c r="H271" t="n">
        <v>18</v>
      </c>
      <c r="I271">
        <f>IFERROR(VLOOKUP(C271, Merchants!$A$2:$D$41, 2, FALSE), "Merchant not found")</f>
        <v/>
      </c>
      <c r="J271">
        <f>IFERROR(VLOOKUP(C271, Merchants!$A$2:$D$41, 3, FALSE), "Merchant not found")</f>
        <v/>
      </c>
      <c r="K271">
        <f>IFERROR(VLOOKUP(C271, Merchants!$A$2:$D$41, 4, FALSE), "Merchant not found")</f>
        <v/>
      </c>
      <c r="L271">
        <f>HLOOKUP(F271, Fee_Tiers!$B$1:$E$2, 2, FALSE)</f>
        <v/>
      </c>
      <c r="M271">
        <f>IF(AND(E271&gt;5000, K271&lt;&gt;"&gt;East"), "High-Value Merchant Day", "Standard")</f>
        <v/>
      </c>
    </row>
    <row r="272">
      <c r="A272" t="inlineStr">
        <is>
          <t>TXN100270</t>
        </is>
      </c>
      <c r="B272" t="n">
        <v>114</v>
      </c>
      <c r="C272" t="n">
        <v>29</v>
      </c>
      <c r="D272" t="inlineStr">
        <is>
          <t>2026-01-27 13:05:00</t>
        </is>
      </c>
      <c r="E272" t="n">
        <v>799</v>
      </c>
      <c r="F272" t="inlineStr">
        <is>
          <t>UPI</t>
        </is>
      </c>
      <c r="G272" t="inlineStr">
        <is>
          <t>chargeback</t>
        </is>
      </c>
      <c r="H272" t="n">
        <v>44</v>
      </c>
      <c r="I272">
        <f>IFERROR(VLOOKUP(C272, Merchants!$A$2:$D$41, 2, FALSE), "Merchant not found")</f>
        <v/>
      </c>
      <c r="J272">
        <f>IFERROR(VLOOKUP(C272, Merchants!$A$2:$D$41, 3, FALSE), "Merchant not found")</f>
        <v/>
      </c>
      <c r="K272">
        <f>IFERROR(VLOOKUP(C272, Merchants!$A$2:$D$41, 4, FALSE), "Merchant not found")</f>
        <v/>
      </c>
      <c r="L272">
        <f>HLOOKUP(F272, Fee_Tiers!$B$1:$E$2, 2, FALSE)</f>
        <v/>
      </c>
      <c r="M272">
        <f>IF(AND(E272&gt;5000, K272&lt;&gt;"&gt;East"), "High-Value Merchant Day", "Standard")</f>
        <v/>
      </c>
    </row>
    <row r="273">
      <c r="A273" t="inlineStr">
        <is>
          <t>TXN100271</t>
        </is>
      </c>
      <c r="B273" t="n">
        <v>28</v>
      </c>
      <c r="C273" t="n">
        <v>26</v>
      </c>
      <c r="D273" t="inlineStr">
        <is>
          <t>2026-01-30 00:26:00</t>
        </is>
      </c>
      <c r="E273" t="n">
        <v>1499</v>
      </c>
      <c r="F273" t="inlineStr">
        <is>
          <t>UPI</t>
        </is>
      </c>
      <c r="G273" t="inlineStr">
        <is>
          <t>failed</t>
        </is>
      </c>
      <c r="H273" t="n">
        <v>64</v>
      </c>
      <c r="I273">
        <f>IFERROR(VLOOKUP(C273, Merchants!$A$2:$D$41, 2, FALSE), "Merchant not found")</f>
        <v/>
      </c>
      <c r="J273">
        <f>IFERROR(VLOOKUP(C273, Merchants!$A$2:$D$41, 3, FALSE), "Merchant not found")</f>
        <v/>
      </c>
      <c r="K273">
        <f>IFERROR(VLOOKUP(C273, Merchants!$A$2:$D$41, 4, FALSE), "Merchant not found")</f>
        <v/>
      </c>
      <c r="L273">
        <f>HLOOKUP(F273, Fee_Tiers!$B$1:$E$2, 2, FALSE)</f>
        <v/>
      </c>
      <c r="M273">
        <f>IF(AND(E273&gt;5000, K273&lt;&gt;"&gt;East"), "High-Value Merchant Day", "Standard")</f>
        <v/>
      </c>
    </row>
    <row r="274">
      <c r="A274" t="inlineStr">
        <is>
          <t>TXN100272</t>
        </is>
      </c>
      <c r="B274" t="n">
        <v>42</v>
      </c>
      <c r="C274" t="n">
        <v>24</v>
      </c>
      <c r="D274" t="inlineStr">
        <is>
          <t>2026-01-12 07:24:00</t>
        </is>
      </c>
      <c r="E274" t="n">
        <v>149</v>
      </c>
      <c r="F274" t="inlineStr">
        <is>
          <t>UPI</t>
        </is>
      </c>
      <c r="G274" t="inlineStr">
        <is>
          <t>captured</t>
        </is>
      </c>
      <c r="H274" t="n">
        <v>28</v>
      </c>
      <c r="I274">
        <f>IFERROR(VLOOKUP(C274, Merchants!$A$2:$D$41, 2, FALSE), "Merchant not found")</f>
        <v/>
      </c>
      <c r="J274">
        <f>IFERROR(VLOOKUP(C274, Merchants!$A$2:$D$41, 3, FALSE), "Merchant not found")</f>
        <v/>
      </c>
      <c r="K274">
        <f>IFERROR(VLOOKUP(C274, Merchants!$A$2:$D$41, 4, FALSE), "Merchant not found")</f>
        <v/>
      </c>
      <c r="L274">
        <f>HLOOKUP(F274, Fee_Tiers!$B$1:$E$2, 2, FALSE)</f>
        <v/>
      </c>
      <c r="M274">
        <f>IF(AND(E274&gt;5000, K274&lt;&gt;"&gt;East"), "High-Value Merchant Day", "Standard")</f>
        <v/>
      </c>
    </row>
    <row r="275">
      <c r="A275" t="inlineStr">
        <is>
          <t>TXN100273</t>
        </is>
      </c>
      <c r="B275" t="n">
        <v>51</v>
      </c>
      <c r="C275" t="n">
        <v>22</v>
      </c>
      <c r="D275" t="inlineStr">
        <is>
          <t>2026-01-01 10:59:00</t>
        </is>
      </c>
      <c r="E275" t="n">
        <v>799</v>
      </c>
      <c r="F275" t="inlineStr">
        <is>
          <t>UPI</t>
        </is>
      </c>
      <c r="G275" t="inlineStr">
        <is>
          <t>captured</t>
        </is>
      </c>
      <c r="H275" t="n">
        <v>18</v>
      </c>
      <c r="I275">
        <f>IFERROR(VLOOKUP(C275, Merchants!$A$2:$D$41, 2, FALSE), "Merchant not found")</f>
        <v/>
      </c>
      <c r="J275">
        <f>IFERROR(VLOOKUP(C275, Merchants!$A$2:$D$41, 3, FALSE), "Merchant not found")</f>
        <v/>
      </c>
      <c r="K275">
        <f>IFERROR(VLOOKUP(C275, Merchants!$A$2:$D$41, 4, FALSE), "Merchant not found")</f>
        <v/>
      </c>
      <c r="L275">
        <f>HLOOKUP(F275, Fee_Tiers!$B$1:$E$2, 2, FALSE)</f>
        <v/>
      </c>
      <c r="M275">
        <f>IF(AND(E275&gt;5000, K275&lt;&gt;"&gt;East"), "High-Value Merchant Day", "Standard")</f>
        <v/>
      </c>
    </row>
    <row r="276">
      <c r="A276" t="inlineStr">
        <is>
          <t>TXN100274</t>
        </is>
      </c>
      <c r="B276" t="n">
        <v>242</v>
      </c>
      <c r="C276" t="n">
        <v>9</v>
      </c>
      <c r="D276" t="inlineStr">
        <is>
          <t>2026-01-05 01:18:00</t>
        </is>
      </c>
      <c r="E276" t="n">
        <v>149</v>
      </c>
      <c r="F276" t="inlineStr">
        <is>
          <t>UPI</t>
        </is>
      </c>
      <c r="G276" t="inlineStr">
        <is>
          <t>captured</t>
        </is>
      </c>
      <c r="H276" t="n">
        <v>97</v>
      </c>
      <c r="I276">
        <f>IFERROR(VLOOKUP(C276, Merchants!$A$2:$D$41, 2, FALSE), "Merchant not found")</f>
        <v/>
      </c>
      <c r="J276">
        <f>IFERROR(VLOOKUP(C276, Merchants!$A$2:$D$41, 3, FALSE), "Merchant not found")</f>
        <v/>
      </c>
      <c r="K276">
        <f>IFERROR(VLOOKUP(C276, Merchants!$A$2:$D$41, 4, FALSE), "Merchant not found")</f>
        <v/>
      </c>
      <c r="L276">
        <f>HLOOKUP(F276, Fee_Tiers!$B$1:$E$2, 2, FALSE)</f>
        <v/>
      </c>
      <c r="M276">
        <f>IF(AND(E276&gt;5000, K276&lt;&gt;"&gt;East"), "High-Value Merchant Day", "Standard")</f>
        <v/>
      </c>
    </row>
    <row r="277">
      <c r="A277" t="inlineStr">
        <is>
          <t>TXN100275</t>
        </is>
      </c>
      <c r="B277" t="n">
        <v>316</v>
      </c>
      <c r="C277" t="n">
        <v>1</v>
      </c>
      <c r="D277" t="inlineStr">
        <is>
          <t>2026-01-23 15:28:00</t>
        </is>
      </c>
      <c r="E277" t="n">
        <v>149</v>
      </c>
      <c r="F277" t="inlineStr">
        <is>
          <t>UPI</t>
        </is>
      </c>
      <c r="G277" t="inlineStr">
        <is>
          <t>captured</t>
        </is>
      </c>
      <c r="H277" t="n">
        <v>10</v>
      </c>
      <c r="I277">
        <f>IFERROR(VLOOKUP(C277, Merchants!$A$2:$D$41, 2, FALSE), "Merchant not found")</f>
        <v/>
      </c>
      <c r="J277">
        <f>IFERROR(VLOOKUP(C277, Merchants!$A$2:$D$41, 3, FALSE), "Merchant not found")</f>
        <v/>
      </c>
      <c r="K277">
        <f>IFERROR(VLOOKUP(C277, Merchants!$A$2:$D$41, 4, FALSE), "Merchant not found")</f>
        <v/>
      </c>
      <c r="L277">
        <f>HLOOKUP(F277, Fee_Tiers!$B$1:$E$2, 2, FALSE)</f>
        <v/>
      </c>
      <c r="M277">
        <f>IF(AND(E277&gt;5000, K277&lt;&gt;"&gt;East"), "High-Value Merchant Day", "Standard")</f>
        <v/>
      </c>
    </row>
    <row r="278">
      <c r="A278" t="inlineStr">
        <is>
          <t>TXN100276</t>
        </is>
      </c>
      <c r="B278" t="n">
        <v>77</v>
      </c>
      <c r="C278" t="n">
        <v>36</v>
      </c>
      <c r="D278" t="inlineStr">
        <is>
          <t>2026-01-01 08:13:00</t>
        </is>
      </c>
      <c r="E278" t="n">
        <v>149</v>
      </c>
      <c r="F278" t="inlineStr">
        <is>
          <t>UPI</t>
        </is>
      </c>
      <c r="G278" t="inlineStr">
        <is>
          <t>captured</t>
        </is>
      </c>
      <c r="H278" t="n">
        <v>93</v>
      </c>
      <c r="I278">
        <f>IFERROR(VLOOKUP(C278, Merchants!$A$2:$D$41, 2, FALSE), "Merchant not found")</f>
        <v/>
      </c>
      <c r="J278">
        <f>IFERROR(VLOOKUP(C278, Merchants!$A$2:$D$41, 3, FALSE), "Merchant not found")</f>
        <v/>
      </c>
      <c r="K278">
        <f>IFERROR(VLOOKUP(C278, Merchants!$A$2:$D$41, 4, FALSE), "Merchant not found")</f>
        <v/>
      </c>
      <c r="L278">
        <f>HLOOKUP(F278, Fee_Tiers!$B$1:$E$2, 2, FALSE)</f>
        <v/>
      </c>
      <c r="M278">
        <f>IF(AND(E278&gt;5000, K278&lt;&gt;"&gt;East"), "High-Value Merchant Day", "Standard")</f>
        <v/>
      </c>
    </row>
    <row r="279">
      <c r="A279" t="inlineStr">
        <is>
          <t>TXN100277</t>
        </is>
      </c>
      <c r="B279" t="n">
        <v>57</v>
      </c>
      <c r="C279" t="n">
        <v>19</v>
      </c>
      <c r="D279" t="inlineStr">
        <is>
          <t>2026-01-20 16:27:00</t>
        </is>
      </c>
      <c r="E279" t="n">
        <v>49</v>
      </c>
      <c r="F279" t="inlineStr">
        <is>
          <t>UPI</t>
        </is>
      </c>
      <c r="G279" t="inlineStr">
        <is>
          <t>captured</t>
        </is>
      </c>
      <c r="H279" t="n">
        <v>30</v>
      </c>
      <c r="I279">
        <f>IFERROR(VLOOKUP(C279, Merchants!$A$2:$D$41, 2, FALSE), "Merchant not found")</f>
        <v/>
      </c>
      <c r="J279">
        <f>IFERROR(VLOOKUP(C279, Merchants!$A$2:$D$41, 3, FALSE), "Merchant not found")</f>
        <v/>
      </c>
      <c r="K279">
        <f>IFERROR(VLOOKUP(C279, Merchants!$A$2:$D$41, 4, FALSE), "Merchant not found")</f>
        <v/>
      </c>
      <c r="L279">
        <f>HLOOKUP(F279, Fee_Tiers!$B$1:$E$2, 2, FALSE)</f>
        <v/>
      </c>
      <c r="M279">
        <f>IF(AND(E279&gt;5000, K279&lt;&gt;"&gt;East"), "High-Value Merchant Day", "Standard")</f>
        <v/>
      </c>
    </row>
    <row r="280">
      <c r="A280" t="inlineStr">
        <is>
          <t>TXN100278</t>
        </is>
      </c>
      <c r="B280" t="n">
        <v>123</v>
      </c>
      <c r="C280" t="n">
        <v>27</v>
      </c>
      <c r="D280" t="inlineStr">
        <is>
          <t>2026-01-10 03:03:00</t>
        </is>
      </c>
      <c r="E280" t="n">
        <v>149</v>
      </c>
      <c r="F280" t="inlineStr">
        <is>
          <t>Netbanking</t>
        </is>
      </c>
      <c r="G280" t="inlineStr">
        <is>
          <t>captured</t>
        </is>
      </c>
      <c r="H280" t="n">
        <v>81</v>
      </c>
      <c r="I280">
        <f>IFERROR(VLOOKUP(C280, Merchants!$A$2:$D$41, 2, FALSE), "Merchant not found")</f>
        <v/>
      </c>
      <c r="J280">
        <f>IFERROR(VLOOKUP(C280, Merchants!$A$2:$D$41, 3, FALSE), "Merchant not found")</f>
        <v/>
      </c>
      <c r="K280">
        <f>IFERROR(VLOOKUP(C280, Merchants!$A$2:$D$41, 4, FALSE), "Merchant not found")</f>
        <v/>
      </c>
      <c r="L280">
        <f>HLOOKUP(F280, Fee_Tiers!$B$1:$E$2, 2, FALSE)</f>
        <v/>
      </c>
      <c r="M280">
        <f>IF(AND(E280&gt;5000, K280&lt;&gt;"&gt;East"), "High-Value Merchant Day", "Standard")</f>
        <v/>
      </c>
    </row>
    <row r="281">
      <c r="A281" t="inlineStr">
        <is>
          <t>TXN100279</t>
        </is>
      </c>
      <c r="B281" t="n">
        <v>33</v>
      </c>
      <c r="C281" t="n">
        <v>8</v>
      </c>
      <c r="D281" t="inlineStr">
        <is>
          <t>2026-01-26 19:29:00</t>
        </is>
      </c>
      <c r="E281" t="n">
        <v>299</v>
      </c>
      <c r="F281" t="inlineStr">
        <is>
          <t>Wallet</t>
        </is>
      </c>
      <c r="G281" t="inlineStr">
        <is>
          <t>captured</t>
        </is>
      </c>
      <c r="H281" t="n">
        <v>63</v>
      </c>
      <c r="I281">
        <f>IFERROR(VLOOKUP(C281, Merchants!$A$2:$D$41, 2, FALSE), "Merchant not found")</f>
        <v/>
      </c>
      <c r="J281">
        <f>IFERROR(VLOOKUP(C281, Merchants!$A$2:$D$41, 3, FALSE), "Merchant not found")</f>
        <v/>
      </c>
      <c r="K281">
        <f>IFERROR(VLOOKUP(C281, Merchants!$A$2:$D$41, 4, FALSE), "Merchant not found")</f>
        <v/>
      </c>
      <c r="L281">
        <f>HLOOKUP(F281, Fee_Tiers!$B$1:$E$2, 2, FALSE)</f>
        <v/>
      </c>
      <c r="M281">
        <f>IF(AND(E281&gt;5000, K281&lt;&gt;"&gt;East"), "High-Value Merchant Day", "Standard")</f>
        <v/>
      </c>
    </row>
    <row r="282">
      <c r="A282" t="inlineStr">
        <is>
          <t>TXN100280</t>
        </is>
      </c>
      <c r="B282" t="n">
        <v>324</v>
      </c>
      <c r="C282" t="n">
        <v>33</v>
      </c>
      <c r="D282" t="inlineStr">
        <is>
          <t>2026-01-20 17:01:00</t>
        </is>
      </c>
      <c r="E282" t="n">
        <v>499</v>
      </c>
      <c r="F282" t="inlineStr">
        <is>
          <t>UPI</t>
        </is>
      </c>
      <c r="G282" t="inlineStr">
        <is>
          <t>captured</t>
        </is>
      </c>
      <c r="H282" t="n">
        <v>73</v>
      </c>
      <c r="I282">
        <f>IFERROR(VLOOKUP(C282, Merchants!$A$2:$D$41, 2, FALSE), "Merchant not found")</f>
        <v/>
      </c>
      <c r="J282">
        <f>IFERROR(VLOOKUP(C282, Merchants!$A$2:$D$41, 3, FALSE), "Merchant not found")</f>
        <v/>
      </c>
      <c r="K282">
        <f>IFERROR(VLOOKUP(C282, Merchants!$A$2:$D$41, 4, FALSE), "Merchant not found")</f>
        <v/>
      </c>
      <c r="L282">
        <f>HLOOKUP(F282, Fee_Tiers!$B$1:$E$2, 2, FALSE)</f>
        <v/>
      </c>
      <c r="M282">
        <f>IF(AND(E282&gt;5000, K282&lt;&gt;"&gt;East"), "High-Value Merchant Day", "Standard")</f>
        <v/>
      </c>
    </row>
    <row r="283">
      <c r="A283" t="inlineStr">
        <is>
          <t>TXN100281</t>
        </is>
      </c>
      <c r="B283" t="n">
        <v>150</v>
      </c>
      <c r="C283" t="n">
        <v>28</v>
      </c>
      <c r="D283" t="inlineStr">
        <is>
          <t>2026-01-08 22:09:00</t>
        </is>
      </c>
      <c r="E283" t="n">
        <v>49</v>
      </c>
      <c r="F283" t="inlineStr">
        <is>
          <t>UPI</t>
        </is>
      </c>
      <c r="G283" t="inlineStr">
        <is>
          <t>failed</t>
        </is>
      </c>
      <c r="H283" t="n">
        <v>0</v>
      </c>
      <c r="I283">
        <f>IFERROR(VLOOKUP(C283, Merchants!$A$2:$D$41, 2, FALSE), "Merchant not found")</f>
        <v/>
      </c>
      <c r="J283">
        <f>IFERROR(VLOOKUP(C283, Merchants!$A$2:$D$41, 3, FALSE), "Merchant not found")</f>
        <v/>
      </c>
      <c r="K283">
        <f>IFERROR(VLOOKUP(C283, Merchants!$A$2:$D$41, 4, FALSE), "Merchant not found")</f>
        <v/>
      </c>
      <c r="L283">
        <f>HLOOKUP(F283, Fee_Tiers!$B$1:$E$2, 2, FALSE)</f>
        <v/>
      </c>
      <c r="M283">
        <f>IF(AND(E283&gt;5000, K283&lt;&gt;"&gt;East"), "High-Value Merchant Day", "Standard")</f>
        <v/>
      </c>
    </row>
    <row r="284">
      <c r="A284" t="inlineStr">
        <is>
          <t>TXN100282</t>
        </is>
      </c>
      <c r="B284" t="n">
        <v>293</v>
      </c>
      <c r="C284" t="n">
        <v>27</v>
      </c>
      <c r="D284" t="inlineStr">
        <is>
          <t>2026-01-20 11:15:00</t>
        </is>
      </c>
      <c r="E284" t="n">
        <v>4999</v>
      </c>
      <c r="F284" t="inlineStr">
        <is>
          <t>UPI</t>
        </is>
      </c>
      <c r="G284" t="inlineStr">
        <is>
          <t>captured</t>
        </is>
      </c>
      <c r="H284" t="n">
        <v>23</v>
      </c>
      <c r="I284">
        <f>IFERROR(VLOOKUP(C284, Merchants!$A$2:$D$41, 2, FALSE), "Merchant not found")</f>
        <v/>
      </c>
      <c r="J284">
        <f>IFERROR(VLOOKUP(C284, Merchants!$A$2:$D$41, 3, FALSE), "Merchant not found")</f>
        <v/>
      </c>
      <c r="K284">
        <f>IFERROR(VLOOKUP(C284, Merchants!$A$2:$D$41, 4, FALSE), "Merchant not found")</f>
        <v/>
      </c>
      <c r="L284">
        <f>HLOOKUP(F284, Fee_Tiers!$B$1:$E$2, 2, FALSE)</f>
        <v/>
      </c>
      <c r="M284">
        <f>IF(AND(E284&gt;5000, K284&lt;&gt;"&gt;East"), "High-Value Merchant Day", "Standard")</f>
        <v/>
      </c>
    </row>
    <row r="285">
      <c r="A285" t="inlineStr">
        <is>
          <t>TXN100283</t>
        </is>
      </c>
      <c r="B285" t="n">
        <v>269</v>
      </c>
      <c r="C285" t="n">
        <v>24</v>
      </c>
      <c r="D285" t="inlineStr">
        <is>
          <t>2026-01-22 21:05:00</t>
        </is>
      </c>
      <c r="E285" t="n">
        <v>49</v>
      </c>
      <c r="F285" t="inlineStr">
        <is>
          <t>Wallet</t>
        </is>
      </c>
      <c r="G285" t="inlineStr">
        <is>
          <t>captured</t>
        </is>
      </c>
      <c r="H285" t="n">
        <v>8</v>
      </c>
      <c r="I285">
        <f>IFERROR(VLOOKUP(C285, Merchants!$A$2:$D$41, 2, FALSE), "Merchant not found")</f>
        <v/>
      </c>
      <c r="J285">
        <f>IFERROR(VLOOKUP(C285, Merchants!$A$2:$D$41, 3, FALSE), "Merchant not found")</f>
        <v/>
      </c>
      <c r="K285">
        <f>IFERROR(VLOOKUP(C285, Merchants!$A$2:$D$41, 4, FALSE), "Merchant not found")</f>
        <v/>
      </c>
      <c r="L285">
        <f>HLOOKUP(F285, Fee_Tiers!$B$1:$E$2, 2, FALSE)</f>
        <v/>
      </c>
      <c r="M285">
        <f>IF(AND(E285&gt;5000, K285&lt;&gt;"&gt;East"), "High-Value Merchant Day", "Standard")</f>
        <v/>
      </c>
    </row>
    <row r="286">
      <c r="A286" t="inlineStr">
        <is>
          <t>TXN100284</t>
        </is>
      </c>
      <c r="B286" t="n">
        <v>260</v>
      </c>
      <c r="C286" t="n">
        <v>36</v>
      </c>
      <c r="D286" t="inlineStr">
        <is>
          <t>2026-01-17 17:32:00</t>
        </is>
      </c>
      <c r="E286" t="n">
        <v>1499</v>
      </c>
      <c r="F286" t="inlineStr">
        <is>
          <t>UPI</t>
        </is>
      </c>
      <c r="G286" t="inlineStr">
        <is>
          <t>captured</t>
        </is>
      </c>
      <c r="H286" t="n">
        <v>2</v>
      </c>
      <c r="I286">
        <f>IFERROR(VLOOKUP(C286, Merchants!$A$2:$D$41, 2, FALSE), "Merchant not found")</f>
        <v/>
      </c>
      <c r="J286">
        <f>IFERROR(VLOOKUP(C286, Merchants!$A$2:$D$41, 3, FALSE), "Merchant not found")</f>
        <v/>
      </c>
      <c r="K286">
        <f>IFERROR(VLOOKUP(C286, Merchants!$A$2:$D$41, 4, FALSE), "Merchant not found")</f>
        <v/>
      </c>
      <c r="L286">
        <f>HLOOKUP(F286, Fee_Tiers!$B$1:$E$2, 2, FALSE)</f>
        <v/>
      </c>
      <c r="M286">
        <f>IF(AND(E286&gt;5000, K286&lt;&gt;"&gt;East"), "High-Value Merchant Day", "Standard")</f>
        <v/>
      </c>
    </row>
    <row r="287">
      <c r="A287" t="inlineStr">
        <is>
          <t>TXN100285</t>
        </is>
      </c>
      <c r="B287" t="n">
        <v>326</v>
      </c>
      <c r="C287" t="n">
        <v>25</v>
      </c>
      <c r="D287" t="inlineStr">
        <is>
          <t>2026-01-13 15:02:00</t>
        </is>
      </c>
      <c r="E287" t="n">
        <v>49</v>
      </c>
      <c r="F287" t="inlineStr">
        <is>
          <t>UPI</t>
        </is>
      </c>
      <c r="G287" t="inlineStr">
        <is>
          <t>captured</t>
        </is>
      </c>
      <c r="H287" t="n">
        <v>47</v>
      </c>
      <c r="I287">
        <f>IFERROR(VLOOKUP(C287, Merchants!$A$2:$D$41, 2, FALSE), "Merchant not found")</f>
        <v/>
      </c>
      <c r="J287">
        <f>IFERROR(VLOOKUP(C287, Merchants!$A$2:$D$41, 3, FALSE), "Merchant not found")</f>
        <v/>
      </c>
      <c r="K287">
        <f>IFERROR(VLOOKUP(C287, Merchants!$A$2:$D$41, 4, FALSE), "Merchant not found")</f>
        <v/>
      </c>
      <c r="L287">
        <f>HLOOKUP(F287, Fee_Tiers!$B$1:$E$2, 2, FALSE)</f>
        <v/>
      </c>
      <c r="M287">
        <f>IF(AND(E287&gt;5000, K287&lt;&gt;"&gt;East"), "High-Value Merchant Day", "Standard")</f>
        <v/>
      </c>
    </row>
    <row r="288">
      <c r="A288" t="inlineStr">
        <is>
          <t>TXN100286</t>
        </is>
      </c>
      <c r="B288" t="n">
        <v>183</v>
      </c>
      <c r="C288" t="n">
        <v>5</v>
      </c>
      <c r="D288" t="inlineStr">
        <is>
          <t>2026-01-09 23:01:00</t>
        </is>
      </c>
      <c r="E288" t="n">
        <v>49</v>
      </c>
      <c r="F288" t="inlineStr">
        <is>
          <t>Card</t>
        </is>
      </c>
      <c r="G288" t="inlineStr">
        <is>
          <t>captured</t>
        </is>
      </c>
      <c r="H288" t="n">
        <v>44</v>
      </c>
      <c r="I288">
        <f>IFERROR(VLOOKUP(C288, Merchants!$A$2:$D$41, 2, FALSE), "Merchant not found")</f>
        <v/>
      </c>
      <c r="J288">
        <f>IFERROR(VLOOKUP(C288, Merchants!$A$2:$D$41, 3, FALSE), "Merchant not found")</f>
        <v/>
      </c>
      <c r="K288">
        <f>IFERROR(VLOOKUP(C288, Merchants!$A$2:$D$41, 4, FALSE), "Merchant not found")</f>
        <v/>
      </c>
      <c r="L288">
        <f>HLOOKUP(F288, Fee_Tiers!$B$1:$E$2, 2, FALSE)</f>
        <v/>
      </c>
      <c r="M288">
        <f>IF(AND(E288&gt;5000, K288&lt;&gt;"&gt;East"), "High-Value Merchant Day", "Standard")</f>
        <v/>
      </c>
    </row>
    <row r="289">
      <c r="A289" t="inlineStr">
        <is>
          <t>TXN100287</t>
        </is>
      </c>
      <c r="B289" t="n">
        <v>322</v>
      </c>
      <c r="C289" t="n">
        <v>7</v>
      </c>
      <c r="D289" t="inlineStr">
        <is>
          <t>2026-01-08 23:42:00</t>
        </is>
      </c>
      <c r="E289" t="n">
        <v>299</v>
      </c>
      <c r="F289" t="inlineStr">
        <is>
          <t>UPI</t>
        </is>
      </c>
      <c r="G289" t="inlineStr">
        <is>
          <t>captured</t>
        </is>
      </c>
      <c r="H289" t="n">
        <v>98</v>
      </c>
      <c r="I289">
        <f>IFERROR(VLOOKUP(C289, Merchants!$A$2:$D$41, 2, FALSE), "Merchant not found")</f>
        <v/>
      </c>
      <c r="J289">
        <f>IFERROR(VLOOKUP(C289, Merchants!$A$2:$D$41, 3, FALSE), "Merchant not found")</f>
        <v/>
      </c>
      <c r="K289">
        <f>IFERROR(VLOOKUP(C289, Merchants!$A$2:$D$41, 4, FALSE), "Merchant not found")</f>
        <v/>
      </c>
      <c r="L289">
        <f>HLOOKUP(F289, Fee_Tiers!$B$1:$E$2, 2, FALSE)</f>
        <v/>
      </c>
      <c r="M289">
        <f>IF(AND(E289&gt;5000, K289&lt;&gt;"&gt;East"), "High-Value Merchant Day", "Standard")</f>
        <v/>
      </c>
    </row>
    <row r="290">
      <c r="A290" t="inlineStr">
        <is>
          <t>TXN100288</t>
        </is>
      </c>
      <c r="B290" t="n">
        <v>171</v>
      </c>
      <c r="C290" t="n">
        <v>9</v>
      </c>
      <c r="D290" t="inlineStr">
        <is>
          <t>2026-01-19 23:48:00</t>
        </is>
      </c>
      <c r="E290" t="n">
        <v>299</v>
      </c>
      <c r="F290" t="inlineStr">
        <is>
          <t>UPI</t>
        </is>
      </c>
      <c r="G290" t="inlineStr">
        <is>
          <t>captured</t>
        </is>
      </c>
      <c r="H290" t="n">
        <v>5</v>
      </c>
      <c r="I290">
        <f>IFERROR(VLOOKUP(C290, Merchants!$A$2:$D$41, 2, FALSE), "Merchant not found")</f>
        <v/>
      </c>
      <c r="J290">
        <f>IFERROR(VLOOKUP(C290, Merchants!$A$2:$D$41, 3, FALSE), "Merchant not found")</f>
        <v/>
      </c>
      <c r="K290">
        <f>IFERROR(VLOOKUP(C290, Merchants!$A$2:$D$41, 4, FALSE), "Merchant not found")</f>
        <v/>
      </c>
      <c r="L290">
        <f>HLOOKUP(F290, Fee_Tiers!$B$1:$E$2, 2, FALSE)</f>
        <v/>
      </c>
      <c r="M290">
        <f>IF(AND(E290&gt;5000, K290&lt;&gt;"&gt;East"), "High-Value Merchant Day", "Standard")</f>
        <v/>
      </c>
    </row>
    <row r="291">
      <c r="A291" t="inlineStr">
        <is>
          <t>TXN100289</t>
        </is>
      </c>
      <c r="B291" t="n">
        <v>330</v>
      </c>
      <c r="C291" t="n">
        <v>12</v>
      </c>
      <c r="D291" t="inlineStr">
        <is>
          <t>2026-01-12 17:21:00</t>
        </is>
      </c>
      <c r="E291" t="n">
        <v>1499</v>
      </c>
      <c r="F291" t="inlineStr">
        <is>
          <t>Netbanking</t>
        </is>
      </c>
      <c r="G291" t="inlineStr">
        <is>
          <t>captured</t>
        </is>
      </c>
      <c r="H291" t="n">
        <v>99</v>
      </c>
      <c r="I291">
        <f>IFERROR(VLOOKUP(C291, Merchants!$A$2:$D$41, 2, FALSE), "Merchant not found")</f>
        <v/>
      </c>
      <c r="J291">
        <f>IFERROR(VLOOKUP(C291, Merchants!$A$2:$D$41, 3, FALSE), "Merchant not found")</f>
        <v/>
      </c>
      <c r="K291">
        <f>IFERROR(VLOOKUP(C291, Merchants!$A$2:$D$41, 4, FALSE), "Merchant not found")</f>
        <v/>
      </c>
      <c r="L291">
        <f>HLOOKUP(F291, Fee_Tiers!$B$1:$E$2, 2, FALSE)</f>
        <v/>
      </c>
      <c r="M291">
        <f>IF(AND(E291&gt;5000, K291&lt;&gt;"&gt;East"), "High-Value Merchant Day", "Standard")</f>
        <v/>
      </c>
    </row>
    <row r="292">
      <c r="A292" t="inlineStr">
        <is>
          <t>TXN100290</t>
        </is>
      </c>
      <c r="B292" t="n">
        <v>246</v>
      </c>
      <c r="C292" t="n">
        <v>12</v>
      </c>
      <c r="D292" t="inlineStr">
        <is>
          <t>2026-01-22 14:44:00</t>
        </is>
      </c>
      <c r="E292" t="n">
        <v>99</v>
      </c>
      <c r="F292" t="inlineStr">
        <is>
          <t>Wallet</t>
        </is>
      </c>
      <c r="G292" t="inlineStr">
        <is>
          <t>captured</t>
        </is>
      </c>
      <c r="H292" t="n">
        <v>17</v>
      </c>
      <c r="I292">
        <f>IFERROR(VLOOKUP(C292, Merchants!$A$2:$D$41, 2, FALSE), "Merchant not found")</f>
        <v/>
      </c>
      <c r="J292">
        <f>IFERROR(VLOOKUP(C292, Merchants!$A$2:$D$41, 3, FALSE), "Merchant not found")</f>
        <v/>
      </c>
      <c r="K292">
        <f>IFERROR(VLOOKUP(C292, Merchants!$A$2:$D$41, 4, FALSE), "Merchant not found")</f>
        <v/>
      </c>
      <c r="L292">
        <f>HLOOKUP(F292, Fee_Tiers!$B$1:$E$2, 2, FALSE)</f>
        <v/>
      </c>
      <c r="M292">
        <f>IF(AND(E292&gt;5000, K292&lt;&gt;"&gt;East"), "High-Value Merchant Day", "Standard")</f>
        <v/>
      </c>
    </row>
    <row r="293">
      <c r="A293" t="inlineStr">
        <is>
          <t>TXN100291</t>
        </is>
      </c>
      <c r="B293" t="n">
        <v>235</v>
      </c>
      <c r="C293" t="n">
        <v>3</v>
      </c>
      <c r="D293" t="inlineStr">
        <is>
          <t>2026-01-03 22:49:00</t>
        </is>
      </c>
      <c r="E293" t="n">
        <v>49</v>
      </c>
      <c r="F293" t="inlineStr">
        <is>
          <t>UPI</t>
        </is>
      </c>
      <c r="G293" t="inlineStr">
        <is>
          <t>captured</t>
        </is>
      </c>
      <c r="H293" t="n">
        <v>37</v>
      </c>
      <c r="I293">
        <f>IFERROR(VLOOKUP(C293, Merchants!$A$2:$D$41, 2, FALSE), "Merchant not found")</f>
        <v/>
      </c>
      <c r="J293">
        <f>IFERROR(VLOOKUP(C293, Merchants!$A$2:$D$41, 3, FALSE), "Merchant not found")</f>
        <v/>
      </c>
      <c r="K293">
        <f>IFERROR(VLOOKUP(C293, Merchants!$A$2:$D$41, 4, FALSE), "Merchant not found")</f>
        <v/>
      </c>
      <c r="L293">
        <f>HLOOKUP(F293, Fee_Tiers!$B$1:$E$2, 2, FALSE)</f>
        <v/>
      </c>
      <c r="M293">
        <f>IF(AND(E293&gt;5000, K293&lt;&gt;"&gt;East"), "High-Value Merchant Day", "Standard")</f>
        <v/>
      </c>
    </row>
    <row r="294">
      <c r="A294" t="inlineStr">
        <is>
          <t>TXN100292</t>
        </is>
      </c>
      <c r="B294" t="n">
        <v>103</v>
      </c>
      <c r="C294" t="n">
        <v>3</v>
      </c>
      <c r="D294" t="inlineStr">
        <is>
          <t>2026-01-07 01:50:00</t>
        </is>
      </c>
      <c r="E294" t="n">
        <v>499</v>
      </c>
      <c r="F294" t="inlineStr">
        <is>
          <t>UPI</t>
        </is>
      </c>
      <c r="G294" t="inlineStr">
        <is>
          <t>captured</t>
        </is>
      </c>
      <c r="H294" t="n">
        <v>40</v>
      </c>
      <c r="I294">
        <f>IFERROR(VLOOKUP(C294, Merchants!$A$2:$D$41, 2, FALSE), "Merchant not found")</f>
        <v/>
      </c>
      <c r="J294">
        <f>IFERROR(VLOOKUP(C294, Merchants!$A$2:$D$41, 3, FALSE), "Merchant not found")</f>
        <v/>
      </c>
      <c r="K294">
        <f>IFERROR(VLOOKUP(C294, Merchants!$A$2:$D$41, 4, FALSE), "Merchant not found")</f>
        <v/>
      </c>
      <c r="L294">
        <f>HLOOKUP(F294, Fee_Tiers!$B$1:$E$2, 2, FALSE)</f>
        <v/>
      </c>
      <c r="M294">
        <f>IF(AND(E294&gt;5000, K294&lt;&gt;"&gt;East"), "High-Value Merchant Day", "Standard")</f>
        <v/>
      </c>
    </row>
    <row r="295">
      <c r="A295" t="inlineStr">
        <is>
          <t>TXN100293</t>
        </is>
      </c>
      <c r="B295" t="n">
        <v>204</v>
      </c>
      <c r="C295" t="n">
        <v>35</v>
      </c>
      <c r="D295" t="inlineStr">
        <is>
          <t>2026-01-30 09:32:00</t>
        </is>
      </c>
      <c r="E295" t="n">
        <v>99</v>
      </c>
      <c r="F295" t="inlineStr">
        <is>
          <t>Wallet</t>
        </is>
      </c>
      <c r="G295" t="inlineStr">
        <is>
          <t>captured</t>
        </is>
      </c>
      <c r="H295" t="n">
        <v>60</v>
      </c>
      <c r="I295">
        <f>IFERROR(VLOOKUP(C295, Merchants!$A$2:$D$41, 2, FALSE), "Merchant not found")</f>
        <v/>
      </c>
      <c r="J295">
        <f>IFERROR(VLOOKUP(C295, Merchants!$A$2:$D$41, 3, FALSE), "Merchant not found")</f>
        <v/>
      </c>
      <c r="K295">
        <f>IFERROR(VLOOKUP(C295, Merchants!$A$2:$D$41, 4, FALSE), "Merchant not found")</f>
        <v/>
      </c>
      <c r="L295">
        <f>HLOOKUP(F295, Fee_Tiers!$B$1:$E$2, 2, FALSE)</f>
        <v/>
      </c>
      <c r="M295">
        <f>IF(AND(E295&gt;5000, K295&lt;&gt;"&gt;East"), "High-Value Merchant Day", "Standard")</f>
        <v/>
      </c>
    </row>
    <row r="296">
      <c r="A296" t="inlineStr">
        <is>
          <t>TXN100294</t>
        </is>
      </c>
      <c r="B296" t="n">
        <v>332</v>
      </c>
      <c r="C296" t="n">
        <v>13</v>
      </c>
      <c r="D296" t="inlineStr">
        <is>
          <t>2026-01-09 01:48:00</t>
        </is>
      </c>
      <c r="E296" t="n">
        <v>49</v>
      </c>
      <c r="F296" t="inlineStr">
        <is>
          <t>Card</t>
        </is>
      </c>
      <c r="G296" t="inlineStr">
        <is>
          <t>captured</t>
        </is>
      </c>
      <c r="H296" t="n">
        <v>36</v>
      </c>
      <c r="I296">
        <f>IFERROR(VLOOKUP(C296, Merchants!$A$2:$D$41, 2, FALSE), "Merchant not found")</f>
        <v/>
      </c>
      <c r="J296">
        <f>IFERROR(VLOOKUP(C296, Merchants!$A$2:$D$41, 3, FALSE), "Merchant not found")</f>
        <v/>
      </c>
      <c r="K296">
        <f>IFERROR(VLOOKUP(C296, Merchants!$A$2:$D$41, 4, FALSE), "Merchant not found")</f>
        <v/>
      </c>
      <c r="L296">
        <f>HLOOKUP(F296, Fee_Tiers!$B$1:$E$2, 2, FALSE)</f>
        <v/>
      </c>
      <c r="M296">
        <f>IF(AND(E296&gt;5000, K296&lt;&gt;"&gt;East"), "High-Value Merchant Day", "Standard")</f>
        <v/>
      </c>
    </row>
    <row r="297">
      <c r="A297" t="inlineStr">
        <is>
          <t>TXN100295</t>
        </is>
      </c>
      <c r="B297" t="n">
        <v>336</v>
      </c>
      <c r="C297" t="n">
        <v>22</v>
      </c>
      <c r="D297" t="inlineStr">
        <is>
          <t>2026-01-12 01:55:00</t>
        </is>
      </c>
      <c r="E297" t="n">
        <v>499</v>
      </c>
      <c r="F297" t="inlineStr">
        <is>
          <t>UPI</t>
        </is>
      </c>
      <c r="G297" t="inlineStr">
        <is>
          <t>captured</t>
        </is>
      </c>
      <c r="H297" t="n">
        <v>34</v>
      </c>
      <c r="I297">
        <f>IFERROR(VLOOKUP(C297, Merchants!$A$2:$D$41, 2, FALSE), "Merchant not found")</f>
        <v/>
      </c>
      <c r="J297">
        <f>IFERROR(VLOOKUP(C297, Merchants!$A$2:$D$41, 3, FALSE), "Merchant not found")</f>
        <v/>
      </c>
      <c r="K297">
        <f>IFERROR(VLOOKUP(C297, Merchants!$A$2:$D$41, 4, FALSE), "Merchant not found")</f>
        <v/>
      </c>
      <c r="L297">
        <f>HLOOKUP(F297, Fee_Tiers!$B$1:$E$2, 2, FALSE)</f>
        <v/>
      </c>
      <c r="M297">
        <f>IF(AND(E297&gt;5000, K297&lt;&gt;"&gt;East"), "High-Value Merchant Day", "Standard")</f>
        <v/>
      </c>
    </row>
    <row r="298">
      <c r="A298" t="inlineStr">
        <is>
          <t>TXN100296</t>
        </is>
      </c>
      <c r="B298" t="n">
        <v>205</v>
      </c>
      <c r="C298" t="n">
        <v>29</v>
      </c>
      <c r="D298" t="inlineStr">
        <is>
          <t>2026-01-04 11:27:00</t>
        </is>
      </c>
      <c r="E298" t="n">
        <v>99</v>
      </c>
      <c r="F298" t="inlineStr">
        <is>
          <t>Wallet</t>
        </is>
      </c>
      <c r="G298" t="inlineStr">
        <is>
          <t>captured</t>
        </is>
      </c>
      <c r="H298" t="n">
        <v>49</v>
      </c>
      <c r="I298">
        <f>IFERROR(VLOOKUP(C298, Merchants!$A$2:$D$41, 2, FALSE), "Merchant not found")</f>
        <v/>
      </c>
      <c r="J298">
        <f>IFERROR(VLOOKUP(C298, Merchants!$A$2:$D$41, 3, FALSE), "Merchant not found")</f>
        <v/>
      </c>
      <c r="K298">
        <f>IFERROR(VLOOKUP(C298, Merchants!$A$2:$D$41, 4, FALSE), "Merchant not found")</f>
        <v/>
      </c>
      <c r="L298">
        <f>HLOOKUP(F298, Fee_Tiers!$B$1:$E$2, 2, FALSE)</f>
        <v/>
      </c>
      <c r="M298">
        <f>IF(AND(E298&gt;5000, K298&lt;&gt;"&gt;East"), "High-Value Merchant Day", "Standard")</f>
        <v/>
      </c>
    </row>
    <row r="299">
      <c r="A299" t="inlineStr">
        <is>
          <t>TXN100297</t>
        </is>
      </c>
      <c r="B299" t="n">
        <v>255</v>
      </c>
      <c r="C299" t="n">
        <v>24</v>
      </c>
      <c r="D299" t="inlineStr">
        <is>
          <t>2026-01-11 05:31:00</t>
        </is>
      </c>
      <c r="E299" t="n">
        <v>799</v>
      </c>
      <c r="F299" t="inlineStr">
        <is>
          <t>UPI</t>
        </is>
      </c>
      <c r="G299" t="inlineStr">
        <is>
          <t>captured</t>
        </is>
      </c>
      <c r="H299" t="n">
        <v>66</v>
      </c>
      <c r="I299">
        <f>IFERROR(VLOOKUP(C299, Merchants!$A$2:$D$41, 2, FALSE), "Merchant not found")</f>
        <v/>
      </c>
      <c r="J299">
        <f>IFERROR(VLOOKUP(C299, Merchants!$A$2:$D$41, 3, FALSE), "Merchant not found")</f>
        <v/>
      </c>
      <c r="K299">
        <f>IFERROR(VLOOKUP(C299, Merchants!$A$2:$D$41, 4, FALSE), "Merchant not found")</f>
        <v/>
      </c>
      <c r="L299">
        <f>HLOOKUP(F299, Fee_Tiers!$B$1:$E$2, 2, FALSE)</f>
        <v/>
      </c>
      <c r="M299">
        <f>IF(AND(E299&gt;5000, K299&lt;&gt;"&gt;East"), "High-Value Merchant Day", "Standard")</f>
        <v/>
      </c>
    </row>
    <row r="300">
      <c r="A300" t="inlineStr">
        <is>
          <t>TXN100298</t>
        </is>
      </c>
      <c r="B300" t="n">
        <v>218</v>
      </c>
      <c r="C300" t="n">
        <v>6</v>
      </c>
      <c r="D300" t="inlineStr">
        <is>
          <t>2026-01-09 02:46:00</t>
        </is>
      </c>
      <c r="E300" t="n">
        <v>99</v>
      </c>
      <c r="F300" t="inlineStr">
        <is>
          <t>UPI</t>
        </is>
      </c>
      <c r="G300" t="inlineStr">
        <is>
          <t>captured</t>
        </is>
      </c>
      <c r="H300" t="n">
        <v>55</v>
      </c>
      <c r="I300">
        <f>IFERROR(VLOOKUP(C300, Merchants!$A$2:$D$41, 2, FALSE), "Merchant not found")</f>
        <v/>
      </c>
      <c r="J300">
        <f>IFERROR(VLOOKUP(C300, Merchants!$A$2:$D$41, 3, FALSE), "Merchant not found")</f>
        <v/>
      </c>
      <c r="K300">
        <f>IFERROR(VLOOKUP(C300, Merchants!$A$2:$D$41, 4, FALSE), "Merchant not found")</f>
        <v/>
      </c>
      <c r="L300">
        <f>HLOOKUP(F300, Fee_Tiers!$B$1:$E$2, 2, FALSE)</f>
        <v/>
      </c>
      <c r="M300">
        <f>IF(AND(E300&gt;5000, K300&lt;&gt;"&gt;East"), "High-Value Merchant Day", "Standard")</f>
        <v/>
      </c>
    </row>
    <row r="301">
      <c r="A301" t="inlineStr">
        <is>
          <t>TXN100299</t>
        </is>
      </c>
      <c r="B301" t="n">
        <v>151</v>
      </c>
      <c r="C301" t="n">
        <v>21</v>
      </c>
      <c r="D301" t="inlineStr">
        <is>
          <t>2026-01-20 05:34:00</t>
        </is>
      </c>
      <c r="E301" t="n">
        <v>49</v>
      </c>
      <c r="F301" t="inlineStr">
        <is>
          <t>UPI</t>
        </is>
      </c>
      <c r="G301" t="inlineStr">
        <is>
          <t>captured</t>
        </is>
      </c>
      <c r="H301" t="n">
        <v>13</v>
      </c>
      <c r="I301">
        <f>IFERROR(VLOOKUP(C301, Merchants!$A$2:$D$41, 2, FALSE), "Merchant not found")</f>
        <v/>
      </c>
      <c r="J301">
        <f>IFERROR(VLOOKUP(C301, Merchants!$A$2:$D$41, 3, FALSE), "Merchant not found")</f>
        <v/>
      </c>
      <c r="K301">
        <f>IFERROR(VLOOKUP(C301, Merchants!$A$2:$D$41, 4, FALSE), "Merchant not found")</f>
        <v/>
      </c>
      <c r="L301">
        <f>HLOOKUP(F301, Fee_Tiers!$B$1:$E$2, 2, FALSE)</f>
        <v/>
      </c>
      <c r="M301">
        <f>IF(AND(E301&gt;5000, K301&lt;&gt;"&gt;East"), "High-Value Merchant Day", "Standard")</f>
        <v/>
      </c>
    </row>
    <row r="302">
      <c r="A302" t="inlineStr">
        <is>
          <t>TXN100300</t>
        </is>
      </c>
      <c r="B302" t="n">
        <v>152</v>
      </c>
      <c r="C302" t="n">
        <v>20</v>
      </c>
      <c r="D302" t="inlineStr">
        <is>
          <t>2026-01-03 10:42:00</t>
        </is>
      </c>
      <c r="E302" t="n">
        <v>49</v>
      </c>
      <c r="F302" t="inlineStr">
        <is>
          <t>UPI</t>
        </is>
      </c>
      <c r="G302" t="inlineStr">
        <is>
          <t>captured</t>
        </is>
      </c>
      <c r="H302" t="n">
        <v>57</v>
      </c>
      <c r="I302">
        <f>IFERROR(VLOOKUP(C302, Merchants!$A$2:$D$41, 2, FALSE), "Merchant not found")</f>
        <v/>
      </c>
      <c r="J302">
        <f>IFERROR(VLOOKUP(C302, Merchants!$A$2:$D$41, 3, FALSE), "Merchant not found")</f>
        <v/>
      </c>
      <c r="K302">
        <f>IFERROR(VLOOKUP(C302, Merchants!$A$2:$D$41, 4, FALSE), "Merchant not found")</f>
        <v/>
      </c>
      <c r="L302">
        <f>HLOOKUP(F302, Fee_Tiers!$B$1:$E$2, 2, FALSE)</f>
        <v/>
      </c>
      <c r="M302">
        <f>IF(AND(E302&gt;5000, K302&lt;&gt;"&gt;East"), "High-Value Merchant Day", "Standard")</f>
        <v/>
      </c>
    </row>
    <row r="303">
      <c r="A303" t="inlineStr">
        <is>
          <t>TXN100301</t>
        </is>
      </c>
      <c r="B303" t="n">
        <v>86</v>
      </c>
      <c r="C303" t="n">
        <v>29</v>
      </c>
      <c r="D303" t="inlineStr">
        <is>
          <t>2026-01-20 22:27:00</t>
        </is>
      </c>
      <c r="E303" t="n">
        <v>149</v>
      </c>
      <c r="F303" t="inlineStr">
        <is>
          <t>Card</t>
        </is>
      </c>
      <c r="G303" t="inlineStr">
        <is>
          <t>captured</t>
        </is>
      </c>
      <c r="H303" t="n">
        <v>44</v>
      </c>
      <c r="I303">
        <f>IFERROR(VLOOKUP(C303, Merchants!$A$2:$D$41, 2, FALSE), "Merchant not found")</f>
        <v/>
      </c>
      <c r="J303">
        <f>IFERROR(VLOOKUP(C303, Merchants!$A$2:$D$41, 3, FALSE), "Merchant not found")</f>
        <v/>
      </c>
      <c r="K303">
        <f>IFERROR(VLOOKUP(C303, Merchants!$A$2:$D$41, 4, FALSE), "Merchant not found")</f>
        <v/>
      </c>
      <c r="L303">
        <f>HLOOKUP(F303, Fee_Tiers!$B$1:$E$2, 2, FALSE)</f>
        <v/>
      </c>
      <c r="M303">
        <f>IF(AND(E303&gt;5000, K303&lt;&gt;"&gt;East"), "High-Value Merchant Day", "Standard")</f>
        <v/>
      </c>
    </row>
    <row r="304">
      <c r="A304" t="inlineStr">
        <is>
          <t>TXN100302</t>
        </is>
      </c>
      <c r="B304" t="n">
        <v>181</v>
      </c>
      <c r="C304" t="n">
        <v>40</v>
      </c>
      <c r="D304" t="inlineStr">
        <is>
          <t>2026-01-15 01:46:00</t>
        </is>
      </c>
      <c r="E304" t="n">
        <v>149</v>
      </c>
      <c r="F304" t="inlineStr">
        <is>
          <t>UPI</t>
        </is>
      </c>
      <c r="G304" t="inlineStr">
        <is>
          <t>captured</t>
        </is>
      </c>
      <c r="H304" t="n">
        <v>55</v>
      </c>
      <c r="I304">
        <f>IFERROR(VLOOKUP(C304, Merchants!$A$2:$D$41, 2, FALSE), "Merchant not found")</f>
        <v/>
      </c>
      <c r="J304">
        <f>IFERROR(VLOOKUP(C304, Merchants!$A$2:$D$41, 3, FALSE), "Merchant not found")</f>
        <v/>
      </c>
      <c r="K304">
        <f>IFERROR(VLOOKUP(C304, Merchants!$A$2:$D$41, 4, FALSE), "Merchant not found")</f>
        <v/>
      </c>
      <c r="L304">
        <f>HLOOKUP(F304, Fee_Tiers!$B$1:$E$2, 2, FALSE)</f>
        <v/>
      </c>
      <c r="M304">
        <f>IF(AND(E304&gt;5000, K304&lt;&gt;"&gt;East"), "High-Value Merchant Day", "Standard")</f>
        <v/>
      </c>
    </row>
    <row r="305">
      <c r="A305" t="inlineStr">
        <is>
          <t>TXN100303</t>
        </is>
      </c>
      <c r="B305" t="n">
        <v>30</v>
      </c>
      <c r="C305" t="n">
        <v>5</v>
      </c>
      <c r="D305" t="inlineStr">
        <is>
          <t>2026-01-09 20:50:00</t>
        </is>
      </c>
      <c r="E305" t="n">
        <v>299</v>
      </c>
      <c r="F305" t="inlineStr">
        <is>
          <t>UPI</t>
        </is>
      </c>
      <c r="G305" t="inlineStr">
        <is>
          <t>captured</t>
        </is>
      </c>
      <c r="H305" t="n">
        <v>85</v>
      </c>
      <c r="I305">
        <f>IFERROR(VLOOKUP(C305, Merchants!$A$2:$D$41, 2, FALSE), "Merchant not found")</f>
        <v/>
      </c>
      <c r="J305">
        <f>IFERROR(VLOOKUP(C305, Merchants!$A$2:$D$41, 3, FALSE), "Merchant not found")</f>
        <v/>
      </c>
      <c r="K305">
        <f>IFERROR(VLOOKUP(C305, Merchants!$A$2:$D$41, 4, FALSE), "Merchant not found")</f>
        <v/>
      </c>
      <c r="L305">
        <f>HLOOKUP(F305, Fee_Tiers!$B$1:$E$2, 2, FALSE)</f>
        <v/>
      </c>
      <c r="M305">
        <f>IF(AND(E305&gt;5000, K305&lt;&gt;"&gt;East"), "High-Value Merchant Day", "Standard")</f>
        <v/>
      </c>
    </row>
    <row r="306">
      <c r="A306" t="inlineStr">
        <is>
          <t>TXN100304</t>
        </is>
      </c>
      <c r="B306" t="n">
        <v>263</v>
      </c>
      <c r="C306" t="n">
        <v>11</v>
      </c>
      <c r="D306" t="inlineStr">
        <is>
          <t>2026-01-21 12:23:00</t>
        </is>
      </c>
      <c r="E306" t="n">
        <v>149</v>
      </c>
      <c r="F306" t="inlineStr">
        <is>
          <t>Wallet</t>
        </is>
      </c>
      <c r="G306" t="inlineStr">
        <is>
          <t>captured</t>
        </is>
      </c>
      <c r="H306" t="n">
        <v>3</v>
      </c>
      <c r="I306">
        <f>IFERROR(VLOOKUP(C306, Merchants!$A$2:$D$41, 2, FALSE), "Merchant not found")</f>
        <v/>
      </c>
      <c r="J306">
        <f>IFERROR(VLOOKUP(C306, Merchants!$A$2:$D$41, 3, FALSE), "Merchant not found")</f>
        <v/>
      </c>
      <c r="K306">
        <f>IFERROR(VLOOKUP(C306, Merchants!$A$2:$D$41, 4, FALSE), "Merchant not found")</f>
        <v/>
      </c>
      <c r="L306">
        <f>HLOOKUP(F306, Fee_Tiers!$B$1:$E$2, 2, FALSE)</f>
        <v/>
      </c>
      <c r="M306">
        <f>IF(AND(E306&gt;5000, K306&lt;&gt;"&gt;East"), "High-Value Merchant Day", "Standard")</f>
        <v/>
      </c>
    </row>
    <row r="307">
      <c r="A307" t="inlineStr">
        <is>
          <t>TXN100305</t>
        </is>
      </c>
      <c r="B307" t="n">
        <v>225</v>
      </c>
      <c r="C307" t="n">
        <v>3</v>
      </c>
      <c r="D307" t="inlineStr">
        <is>
          <t>2026-01-05 19:43:00</t>
        </is>
      </c>
      <c r="E307" t="n">
        <v>99</v>
      </c>
      <c r="F307" t="inlineStr">
        <is>
          <t>Netbanking</t>
        </is>
      </c>
      <c r="G307" t="inlineStr">
        <is>
          <t>captured</t>
        </is>
      </c>
      <c r="H307" t="n">
        <v>16</v>
      </c>
      <c r="I307">
        <f>IFERROR(VLOOKUP(C307, Merchants!$A$2:$D$41, 2, FALSE), "Merchant not found")</f>
        <v/>
      </c>
      <c r="J307">
        <f>IFERROR(VLOOKUP(C307, Merchants!$A$2:$D$41, 3, FALSE), "Merchant not found")</f>
        <v/>
      </c>
      <c r="K307">
        <f>IFERROR(VLOOKUP(C307, Merchants!$A$2:$D$41, 4, FALSE), "Merchant not found")</f>
        <v/>
      </c>
      <c r="L307">
        <f>HLOOKUP(F307, Fee_Tiers!$B$1:$E$2, 2, FALSE)</f>
        <v/>
      </c>
      <c r="M307">
        <f>IF(AND(E307&gt;5000, K307&lt;&gt;"&gt;East"), "High-Value Merchant Day", "Standard")</f>
        <v/>
      </c>
    </row>
    <row r="308">
      <c r="A308" t="inlineStr">
        <is>
          <t>TXN100306</t>
        </is>
      </c>
      <c r="B308" t="n">
        <v>331</v>
      </c>
      <c r="C308" t="n">
        <v>24</v>
      </c>
      <c r="D308" t="inlineStr">
        <is>
          <t>2026-01-03 07:49:00</t>
        </is>
      </c>
      <c r="E308" t="n">
        <v>49</v>
      </c>
      <c r="F308" t="inlineStr">
        <is>
          <t>Card</t>
        </is>
      </c>
      <c r="G308" t="inlineStr">
        <is>
          <t>captured</t>
        </is>
      </c>
      <c r="H308" t="n">
        <v>46</v>
      </c>
      <c r="I308">
        <f>IFERROR(VLOOKUP(C308, Merchants!$A$2:$D$41, 2, FALSE), "Merchant not found")</f>
        <v/>
      </c>
      <c r="J308">
        <f>IFERROR(VLOOKUP(C308, Merchants!$A$2:$D$41, 3, FALSE), "Merchant not found")</f>
        <v/>
      </c>
      <c r="K308">
        <f>IFERROR(VLOOKUP(C308, Merchants!$A$2:$D$41, 4, FALSE), "Merchant not found")</f>
        <v/>
      </c>
      <c r="L308">
        <f>HLOOKUP(F308, Fee_Tiers!$B$1:$E$2, 2, FALSE)</f>
        <v/>
      </c>
      <c r="M308">
        <f>IF(AND(E308&gt;5000, K308&lt;&gt;"&gt;East"), "High-Value Merchant Day", "Standard")</f>
        <v/>
      </c>
    </row>
    <row r="309">
      <c r="A309" t="inlineStr">
        <is>
          <t>TXN100307</t>
        </is>
      </c>
      <c r="B309" t="n">
        <v>310</v>
      </c>
      <c r="C309" t="n">
        <v>10</v>
      </c>
      <c r="D309" t="inlineStr">
        <is>
          <t>2026-01-13 18:02:00</t>
        </is>
      </c>
      <c r="E309" t="n">
        <v>1499</v>
      </c>
      <c r="F309" t="inlineStr">
        <is>
          <t>Card</t>
        </is>
      </c>
      <c r="G309" t="inlineStr">
        <is>
          <t>captured</t>
        </is>
      </c>
      <c r="H309" t="n">
        <v>86</v>
      </c>
      <c r="I309">
        <f>IFERROR(VLOOKUP(C309, Merchants!$A$2:$D$41, 2, FALSE), "Merchant not found")</f>
        <v/>
      </c>
      <c r="J309">
        <f>IFERROR(VLOOKUP(C309, Merchants!$A$2:$D$41, 3, FALSE), "Merchant not found")</f>
        <v/>
      </c>
      <c r="K309">
        <f>IFERROR(VLOOKUP(C309, Merchants!$A$2:$D$41, 4, FALSE), "Merchant not found")</f>
        <v/>
      </c>
      <c r="L309">
        <f>HLOOKUP(F309, Fee_Tiers!$B$1:$E$2, 2, FALSE)</f>
        <v/>
      </c>
      <c r="M309">
        <f>IF(AND(E309&gt;5000, K309&lt;&gt;"&gt;East"), "High-Value Merchant Day", "Standard")</f>
        <v/>
      </c>
    </row>
    <row r="310">
      <c r="A310" t="inlineStr">
        <is>
          <t>TXN100308</t>
        </is>
      </c>
      <c r="B310" t="n">
        <v>228</v>
      </c>
      <c r="C310" t="n">
        <v>5</v>
      </c>
      <c r="D310" t="inlineStr">
        <is>
          <t>2026-01-15 11:23:00</t>
        </is>
      </c>
      <c r="E310" t="n">
        <v>49</v>
      </c>
      <c r="F310" t="inlineStr">
        <is>
          <t>UPI</t>
        </is>
      </c>
      <c r="G310" t="inlineStr">
        <is>
          <t>captured</t>
        </is>
      </c>
      <c r="H310" t="n">
        <v>73</v>
      </c>
      <c r="I310">
        <f>IFERROR(VLOOKUP(C310, Merchants!$A$2:$D$41, 2, FALSE), "Merchant not found")</f>
        <v/>
      </c>
      <c r="J310">
        <f>IFERROR(VLOOKUP(C310, Merchants!$A$2:$D$41, 3, FALSE), "Merchant not found")</f>
        <v/>
      </c>
      <c r="K310">
        <f>IFERROR(VLOOKUP(C310, Merchants!$A$2:$D$41, 4, FALSE), "Merchant not found")</f>
        <v/>
      </c>
      <c r="L310">
        <f>HLOOKUP(F310, Fee_Tiers!$B$1:$E$2, 2, FALSE)</f>
        <v/>
      </c>
      <c r="M310">
        <f>IF(AND(E310&gt;5000, K310&lt;&gt;"&gt;East"), "High-Value Merchant Day", "Standard")</f>
        <v/>
      </c>
    </row>
    <row r="311">
      <c r="A311" t="inlineStr">
        <is>
          <t>TXN100309</t>
        </is>
      </c>
      <c r="B311" t="n">
        <v>204</v>
      </c>
      <c r="C311" t="n">
        <v>21</v>
      </c>
      <c r="D311" t="inlineStr">
        <is>
          <t>2026-01-05 16:23:00</t>
        </is>
      </c>
      <c r="E311" t="n">
        <v>499</v>
      </c>
      <c r="F311" t="inlineStr">
        <is>
          <t>UPI</t>
        </is>
      </c>
      <c r="G311" t="inlineStr">
        <is>
          <t>captured</t>
        </is>
      </c>
      <c r="H311" t="n">
        <v>83</v>
      </c>
      <c r="I311">
        <f>IFERROR(VLOOKUP(C311, Merchants!$A$2:$D$41, 2, FALSE), "Merchant not found")</f>
        <v/>
      </c>
      <c r="J311">
        <f>IFERROR(VLOOKUP(C311, Merchants!$A$2:$D$41, 3, FALSE), "Merchant not found")</f>
        <v/>
      </c>
      <c r="K311">
        <f>IFERROR(VLOOKUP(C311, Merchants!$A$2:$D$41, 4, FALSE), "Merchant not found")</f>
        <v/>
      </c>
      <c r="L311">
        <f>HLOOKUP(F311, Fee_Tiers!$B$1:$E$2, 2, FALSE)</f>
        <v/>
      </c>
      <c r="M311">
        <f>IF(AND(E311&gt;5000, K311&lt;&gt;"&gt;East"), "High-Value Merchant Day", "Standard")</f>
        <v/>
      </c>
    </row>
    <row r="312">
      <c r="A312" t="inlineStr">
        <is>
          <t>TXN100310</t>
        </is>
      </c>
      <c r="B312" t="n">
        <v>14</v>
      </c>
      <c r="C312" t="n">
        <v>12</v>
      </c>
      <c r="D312" t="inlineStr">
        <is>
          <t>2026-01-09 07:07:00</t>
        </is>
      </c>
      <c r="E312" t="n">
        <v>799</v>
      </c>
      <c r="F312" t="inlineStr">
        <is>
          <t>Netbanking</t>
        </is>
      </c>
      <c r="G312" t="inlineStr">
        <is>
          <t>captured</t>
        </is>
      </c>
      <c r="H312" t="n">
        <v>63</v>
      </c>
      <c r="I312">
        <f>IFERROR(VLOOKUP(C312, Merchants!$A$2:$D$41, 2, FALSE), "Merchant not found")</f>
        <v/>
      </c>
      <c r="J312">
        <f>IFERROR(VLOOKUP(C312, Merchants!$A$2:$D$41, 3, FALSE), "Merchant not found")</f>
        <v/>
      </c>
      <c r="K312">
        <f>IFERROR(VLOOKUP(C312, Merchants!$A$2:$D$41, 4, FALSE), "Merchant not found")</f>
        <v/>
      </c>
      <c r="L312">
        <f>HLOOKUP(F312, Fee_Tiers!$B$1:$E$2, 2, FALSE)</f>
        <v/>
      </c>
      <c r="M312">
        <f>IF(AND(E312&gt;5000, K312&lt;&gt;"&gt;East"), "High-Value Merchant Day", "Standard")</f>
        <v/>
      </c>
    </row>
    <row r="313">
      <c r="A313" t="inlineStr">
        <is>
          <t>TXN100311</t>
        </is>
      </c>
      <c r="B313" t="n">
        <v>288</v>
      </c>
      <c r="C313" t="n">
        <v>8</v>
      </c>
      <c r="D313" t="inlineStr">
        <is>
          <t>2026-01-17 12:58:00</t>
        </is>
      </c>
      <c r="E313" t="n">
        <v>49</v>
      </c>
      <c r="F313" t="inlineStr">
        <is>
          <t>UPI</t>
        </is>
      </c>
      <c r="G313" t="inlineStr">
        <is>
          <t>captured</t>
        </is>
      </c>
      <c r="H313" t="n">
        <v>33</v>
      </c>
      <c r="I313">
        <f>IFERROR(VLOOKUP(C313, Merchants!$A$2:$D$41, 2, FALSE), "Merchant not found")</f>
        <v/>
      </c>
      <c r="J313">
        <f>IFERROR(VLOOKUP(C313, Merchants!$A$2:$D$41, 3, FALSE), "Merchant not found")</f>
        <v/>
      </c>
      <c r="K313">
        <f>IFERROR(VLOOKUP(C313, Merchants!$A$2:$D$41, 4, FALSE), "Merchant not found")</f>
        <v/>
      </c>
      <c r="L313">
        <f>HLOOKUP(F313, Fee_Tiers!$B$1:$E$2, 2, FALSE)</f>
        <v/>
      </c>
      <c r="M313">
        <f>IF(AND(E313&gt;5000, K313&lt;&gt;"&gt;East"), "High-Value Merchant Day", "Standard")</f>
        <v/>
      </c>
    </row>
    <row r="314">
      <c r="A314" t="inlineStr">
        <is>
          <t>TXN100312</t>
        </is>
      </c>
      <c r="B314" t="n">
        <v>229</v>
      </c>
      <c r="C314" t="n">
        <v>14</v>
      </c>
      <c r="D314" t="inlineStr">
        <is>
          <t>2026-01-25 08:45:00</t>
        </is>
      </c>
      <c r="E314" t="n">
        <v>1499</v>
      </c>
      <c r="F314" t="inlineStr">
        <is>
          <t>UPI</t>
        </is>
      </c>
      <c r="G314" t="inlineStr">
        <is>
          <t>captured</t>
        </is>
      </c>
      <c r="H314" t="n">
        <v>78</v>
      </c>
      <c r="I314">
        <f>IFERROR(VLOOKUP(C314, Merchants!$A$2:$D$41, 2, FALSE), "Merchant not found")</f>
        <v/>
      </c>
      <c r="J314">
        <f>IFERROR(VLOOKUP(C314, Merchants!$A$2:$D$41, 3, FALSE), "Merchant not found")</f>
        <v/>
      </c>
      <c r="K314">
        <f>IFERROR(VLOOKUP(C314, Merchants!$A$2:$D$41, 4, FALSE), "Merchant not found")</f>
        <v/>
      </c>
      <c r="L314">
        <f>HLOOKUP(F314, Fee_Tiers!$B$1:$E$2, 2, FALSE)</f>
        <v/>
      </c>
      <c r="M314">
        <f>IF(AND(E314&gt;5000, K314&lt;&gt;"&gt;East"), "High-Value Merchant Day", "Standard")</f>
        <v/>
      </c>
    </row>
    <row r="315">
      <c r="A315" t="inlineStr">
        <is>
          <t>TXN100313</t>
        </is>
      </c>
      <c r="B315" t="n">
        <v>252</v>
      </c>
      <c r="C315" t="n">
        <v>13</v>
      </c>
      <c r="D315" t="inlineStr">
        <is>
          <t>2026-01-10 22:58:00</t>
        </is>
      </c>
      <c r="E315" t="n">
        <v>99</v>
      </c>
      <c r="F315" t="inlineStr">
        <is>
          <t>Wallet</t>
        </is>
      </c>
      <c r="G315" t="inlineStr">
        <is>
          <t>captured</t>
        </is>
      </c>
      <c r="H315" t="n">
        <v>15</v>
      </c>
      <c r="I315">
        <f>IFERROR(VLOOKUP(C315, Merchants!$A$2:$D$41, 2, FALSE), "Merchant not found")</f>
        <v/>
      </c>
      <c r="J315">
        <f>IFERROR(VLOOKUP(C315, Merchants!$A$2:$D$41, 3, FALSE), "Merchant not found")</f>
        <v/>
      </c>
      <c r="K315">
        <f>IFERROR(VLOOKUP(C315, Merchants!$A$2:$D$41, 4, FALSE), "Merchant not found")</f>
        <v/>
      </c>
      <c r="L315">
        <f>HLOOKUP(F315, Fee_Tiers!$B$1:$E$2, 2, FALSE)</f>
        <v/>
      </c>
      <c r="M315">
        <f>IF(AND(E315&gt;5000, K315&lt;&gt;"&gt;East"), "High-Value Merchant Day", "Standard")</f>
        <v/>
      </c>
    </row>
    <row r="316">
      <c r="A316" t="inlineStr">
        <is>
          <t>TXN100314</t>
        </is>
      </c>
      <c r="B316" t="n">
        <v>89</v>
      </c>
      <c r="C316" t="n">
        <v>29</v>
      </c>
      <c r="D316" t="inlineStr">
        <is>
          <t>2026-01-05 02:28:00</t>
        </is>
      </c>
      <c r="E316" t="n">
        <v>799</v>
      </c>
      <c r="F316" t="inlineStr">
        <is>
          <t>UPI</t>
        </is>
      </c>
      <c r="G316" t="inlineStr">
        <is>
          <t>captured</t>
        </is>
      </c>
      <c r="H316" t="n">
        <v>11</v>
      </c>
      <c r="I316">
        <f>IFERROR(VLOOKUP(C316, Merchants!$A$2:$D$41, 2, FALSE), "Merchant not found")</f>
        <v/>
      </c>
      <c r="J316">
        <f>IFERROR(VLOOKUP(C316, Merchants!$A$2:$D$41, 3, FALSE), "Merchant not found")</f>
        <v/>
      </c>
      <c r="K316">
        <f>IFERROR(VLOOKUP(C316, Merchants!$A$2:$D$41, 4, FALSE), "Merchant not found")</f>
        <v/>
      </c>
      <c r="L316">
        <f>HLOOKUP(F316, Fee_Tiers!$B$1:$E$2, 2, FALSE)</f>
        <v/>
      </c>
      <c r="M316">
        <f>IF(AND(E316&gt;5000, K316&lt;&gt;"&gt;East"), "High-Value Merchant Day", "Standard")</f>
        <v/>
      </c>
    </row>
    <row r="317">
      <c r="A317" t="inlineStr">
        <is>
          <t>TXN100315</t>
        </is>
      </c>
      <c r="B317" t="n">
        <v>164</v>
      </c>
      <c r="C317" t="n">
        <v>23</v>
      </c>
      <c r="D317" t="inlineStr">
        <is>
          <t>2026-01-26 21:54:00</t>
        </is>
      </c>
      <c r="E317" t="n">
        <v>49</v>
      </c>
      <c r="F317" t="inlineStr">
        <is>
          <t>Netbanking</t>
        </is>
      </c>
      <c r="G317" t="inlineStr">
        <is>
          <t>captured</t>
        </is>
      </c>
      <c r="H317" t="n">
        <v>90</v>
      </c>
      <c r="I317">
        <f>IFERROR(VLOOKUP(C317, Merchants!$A$2:$D$41, 2, FALSE), "Merchant not found")</f>
        <v/>
      </c>
      <c r="J317">
        <f>IFERROR(VLOOKUP(C317, Merchants!$A$2:$D$41, 3, FALSE), "Merchant not found")</f>
        <v/>
      </c>
      <c r="K317">
        <f>IFERROR(VLOOKUP(C317, Merchants!$A$2:$D$41, 4, FALSE), "Merchant not found")</f>
        <v/>
      </c>
      <c r="L317">
        <f>HLOOKUP(F317, Fee_Tiers!$B$1:$E$2, 2, FALSE)</f>
        <v/>
      </c>
      <c r="M317">
        <f>IF(AND(E317&gt;5000, K317&lt;&gt;"&gt;East"), "High-Value Merchant Day", "Standard")</f>
        <v/>
      </c>
    </row>
    <row r="318">
      <c r="A318" t="inlineStr">
        <is>
          <t>TXN100316</t>
        </is>
      </c>
      <c r="B318" t="n">
        <v>149</v>
      </c>
      <c r="C318" t="n">
        <v>20</v>
      </c>
      <c r="D318" t="inlineStr">
        <is>
          <t>2026-01-03 17:34:00</t>
        </is>
      </c>
      <c r="E318" t="n">
        <v>299</v>
      </c>
      <c r="F318" t="inlineStr">
        <is>
          <t>Wallet</t>
        </is>
      </c>
      <c r="G318" t="inlineStr">
        <is>
          <t>captured</t>
        </is>
      </c>
      <c r="H318" t="n">
        <v>20</v>
      </c>
      <c r="I318">
        <f>IFERROR(VLOOKUP(C318, Merchants!$A$2:$D$41, 2, FALSE), "Merchant not found")</f>
        <v/>
      </c>
      <c r="J318">
        <f>IFERROR(VLOOKUP(C318, Merchants!$A$2:$D$41, 3, FALSE), "Merchant not found")</f>
        <v/>
      </c>
      <c r="K318">
        <f>IFERROR(VLOOKUP(C318, Merchants!$A$2:$D$41, 4, FALSE), "Merchant not found")</f>
        <v/>
      </c>
      <c r="L318">
        <f>HLOOKUP(F318, Fee_Tiers!$B$1:$E$2, 2, FALSE)</f>
        <v/>
      </c>
      <c r="M318">
        <f>IF(AND(E318&gt;5000, K318&lt;&gt;"&gt;East"), "High-Value Merchant Day", "Standard")</f>
        <v/>
      </c>
    </row>
    <row r="319">
      <c r="A319" t="inlineStr">
        <is>
          <t>TXN100317</t>
        </is>
      </c>
      <c r="B319" t="n">
        <v>327</v>
      </c>
      <c r="C319" t="n">
        <v>12</v>
      </c>
      <c r="D319" t="inlineStr">
        <is>
          <t>2026-01-23 22:59:00</t>
        </is>
      </c>
      <c r="E319" t="n">
        <v>49</v>
      </c>
      <c r="F319" t="inlineStr">
        <is>
          <t>Netbanking</t>
        </is>
      </c>
      <c r="G319" t="inlineStr">
        <is>
          <t>captured</t>
        </is>
      </c>
      <c r="H319" t="n">
        <v>46</v>
      </c>
      <c r="I319">
        <f>IFERROR(VLOOKUP(C319, Merchants!$A$2:$D$41, 2, FALSE), "Merchant not found")</f>
        <v/>
      </c>
      <c r="J319">
        <f>IFERROR(VLOOKUP(C319, Merchants!$A$2:$D$41, 3, FALSE), "Merchant not found")</f>
        <v/>
      </c>
      <c r="K319">
        <f>IFERROR(VLOOKUP(C319, Merchants!$A$2:$D$41, 4, FALSE), "Merchant not found")</f>
        <v/>
      </c>
      <c r="L319">
        <f>HLOOKUP(F319, Fee_Tiers!$B$1:$E$2, 2, FALSE)</f>
        <v/>
      </c>
      <c r="M319">
        <f>IF(AND(E319&gt;5000, K319&lt;&gt;"&gt;East"), "High-Value Merchant Day", "Standard")</f>
        <v/>
      </c>
    </row>
    <row r="320">
      <c r="A320" t="inlineStr">
        <is>
          <t>TXN100318</t>
        </is>
      </c>
      <c r="B320" t="n">
        <v>103</v>
      </c>
      <c r="C320" t="n">
        <v>9</v>
      </c>
      <c r="D320" t="inlineStr">
        <is>
          <t>2026-01-17 07:07:00</t>
        </is>
      </c>
      <c r="E320" t="n">
        <v>149</v>
      </c>
      <c r="F320" t="inlineStr">
        <is>
          <t>UPI</t>
        </is>
      </c>
      <c r="G320" t="inlineStr">
        <is>
          <t>captured</t>
        </is>
      </c>
      <c r="H320" t="n">
        <v>30</v>
      </c>
      <c r="I320">
        <f>IFERROR(VLOOKUP(C320, Merchants!$A$2:$D$41, 2, FALSE), "Merchant not found")</f>
        <v/>
      </c>
      <c r="J320">
        <f>IFERROR(VLOOKUP(C320, Merchants!$A$2:$D$41, 3, FALSE), "Merchant not found")</f>
        <v/>
      </c>
      <c r="K320">
        <f>IFERROR(VLOOKUP(C320, Merchants!$A$2:$D$41, 4, FALSE), "Merchant not found")</f>
        <v/>
      </c>
      <c r="L320">
        <f>HLOOKUP(F320, Fee_Tiers!$B$1:$E$2, 2, FALSE)</f>
        <v/>
      </c>
      <c r="M320">
        <f>IF(AND(E320&gt;5000, K320&lt;&gt;"&gt;East"), "High-Value Merchant Day", "Standard")</f>
        <v/>
      </c>
    </row>
    <row r="321">
      <c r="A321" t="inlineStr">
        <is>
          <t>TXN100319</t>
        </is>
      </c>
      <c r="B321" t="n">
        <v>185</v>
      </c>
      <c r="C321" t="n">
        <v>36</v>
      </c>
      <c r="D321" t="inlineStr">
        <is>
          <t>2026-01-26 15:01:00</t>
        </is>
      </c>
      <c r="E321" t="n">
        <v>49</v>
      </c>
      <c r="F321" t="inlineStr">
        <is>
          <t>Wallet</t>
        </is>
      </c>
      <c r="G321" t="inlineStr">
        <is>
          <t>captured</t>
        </is>
      </c>
      <c r="H321" t="n">
        <v>73</v>
      </c>
      <c r="I321">
        <f>IFERROR(VLOOKUP(C321, Merchants!$A$2:$D$41, 2, FALSE), "Merchant not found")</f>
        <v/>
      </c>
      <c r="J321">
        <f>IFERROR(VLOOKUP(C321, Merchants!$A$2:$D$41, 3, FALSE), "Merchant not found")</f>
        <v/>
      </c>
      <c r="K321">
        <f>IFERROR(VLOOKUP(C321, Merchants!$A$2:$D$41, 4, FALSE), "Merchant not found")</f>
        <v/>
      </c>
      <c r="L321">
        <f>HLOOKUP(F321, Fee_Tiers!$B$1:$E$2, 2, FALSE)</f>
        <v/>
      </c>
      <c r="M321">
        <f>IF(AND(E321&gt;5000, K321&lt;&gt;"&gt;East"), "High-Value Merchant Day", "Standard")</f>
        <v/>
      </c>
    </row>
    <row r="322">
      <c r="A322" t="inlineStr">
        <is>
          <t>TXN100320</t>
        </is>
      </c>
      <c r="B322" t="n">
        <v>283</v>
      </c>
      <c r="C322" t="n">
        <v>9</v>
      </c>
      <c r="D322" t="inlineStr">
        <is>
          <t>2026-01-12 14:51:00</t>
        </is>
      </c>
      <c r="E322" t="n">
        <v>299</v>
      </c>
      <c r="F322" t="inlineStr">
        <is>
          <t>UPI</t>
        </is>
      </c>
      <c r="G322" t="inlineStr">
        <is>
          <t>captured</t>
        </is>
      </c>
      <c r="H322" t="n">
        <v>78</v>
      </c>
      <c r="I322">
        <f>IFERROR(VLOOKUP(C322, Merchants!$A$2:$D$41, 2, FALSE), "Merchant not found")</f>
        <v/>
      </c>
      <c r="J322">
        <f>IFERROR(VLOOKUP(C322, Merchants!$A$2:$D$41, 3, FALSE), "Merchant not found")</f>
        <v/>
      </c>
      <c r="K322">
        <f>IFERROR(VLOOKUP(C322, Merchants!$A$2:$D$41, 4, FALSE), "Merchant not found")</f>
        <v/>
      </c>
      <c r="L322">
        <f>HLOOKUP(F322, Fee_Tiers!$B$1:$E$2, 2, FALSE)</f>
        <v/>
      </c>
      <c r="M322">
        <f>IF(AND(E322&gt;5000, K322&lt;&gt;"&gt;East"), "High-Value Merchant Day", "Standard")</f>
        <v/>
      </c>
    </row>
    <row r="323">
      <c r="A323" t="inlineStr">
        <is>
          <t>TXN100321</t>
        </is>
      </c>
      <c r="B323" t="n">
        <v>159</v>
      </c>
      <c r="C323" t="n">
        <v>26</v>
      </c>
      <c r="D323" t="inlineStr">
        <is>
          <t>2026-01-29 02:04:00</t>
        </is>
      </c>
      <c r="E323" t="n">
        <v>99</v>
      </c>
      <c r="F323" t="inlineStr">
        <is>
          <t>UPI</t>
        </is>
      </c>
      <c r="G323" t="inlineStr">
        <is>
          <t>captured</t>
        </is>
      </c>
      <c r="H323" t="n">
        <v>91</v>
      </c>
      <c r="I323">
        <f>IFERROR(VLOOKUP(C323, Merchants!$A$2:$D$41, 2, FALSE), "Merchant not found")</f>
        <v/>
      </c>
      <c r="J323">
        <f>IFERROR(VLOOKUP(C323, Merchants!$A$2:$D$41, 3, FALSE), "Merchant not found")</f>
        <v/>
      </c>
      <c r="K323">
        <f>IFERROR(VLOOKUP(C323, Merchants!$A$2:$D$41, 4, FALSE), "Merchant not found")</f>
        <v/>
      </c>
      <c r="L323">
        <f>HLOOKUP(F323, Fee_Tiers!$B$1:$E$2, 2, FALSE)</f>
        <v/>
      </c>
      <c r="M323">
        <f>IF(AND(E323&gt;5000, K323&lt;&gt;"&gt;East"), "High-Value Merchant Day", "Standard")</f>
        <v/>
      </c>
    </row>
    <row r="324">
      <c r="A324" t="inlineStr">
        <is>
          <t>TXN100322</t>
        </is>
      </c>
      <c r="B324" t="n">
        <v>211</v>
      </c>
      <c r="C324" t="n">
        <v>27</v>
      </c>
      <c r="D324" t="inlineStr">
        <is>
          <t>2026-01-24 15:33:00</t>
        </is>
      </c>
      <c r="E324" t="n">
        <v>99</v>
      </c>
      <c r="F324" t="inlineStr">
        <is>
          <t>Wallet</t>
        </is>
      </c>
      <c r="G324" t="inlineStr">
        <is>
          <t>captured</t>
        </is>
      </c>
      <c r="H324" t="n">
        <v>73</v>
      </c>
      <c r="I324">
        <f>IFERROR(VLOOKUP(C324, Merchants!$A$2:$D$41, 2, FALSE), "Merchant not found")</f>
        <v/>
      </c>
      <c r="J324">
        <f>IFERROR(VLOOKUP(C324, Merchants!$A$2:$D$41, 3, FALSE), "Merchant not found")</f>
        <v/>
      </c>
      <c r="K324">
        <f>IFERROR(VLOOKUP(C324, Merchants!$A$2:$D$41, 4, FALSE), "Merchant not found")</f>
        <v/>
      </c>
      <c r="L324">
        <f>HLOOKUP(F324, Fee_Tiers!$B$1:$E$2, 2, FALSE)</f>
        <v/>
      </c>
      <c r="M324">
        <f>IF(AND(E324&gt;5000, K324&lt;&gt;"&gt;East"), "High-Value Merchant Day", "Standard")</f>
        <v/>
      </c>
    </row>
    <row r="325">
      <c r="A325" t="inlineStr">
        <is>
          <t>TXN100323</t>
        </is>
      </c>
      <c r="B325" t="n">
        <v>329</v>
      </c>
      <c r="C325" t="n">
        <v>5</v>
      </c>
      <c r="D325" t="inlineStr">
        <is>
          <t>2026-01-03 04:20:00</t>
        </is>
      </c>
      <c r="E325" t="n">
        <v>499</v>
      </c>
      <c r="F325" t="inlineStr">
        <is>
          <t>Netbanking</t>
        </is>
      </c>
      <c r="G325" t="inlineStr">
        <is>
          <t>captured</t>
        </is>
      </c>
      <c r="H325" t="n">
        <v>57</v>
      </c>
      <c r="I325">
        <f>IFERROR(VLOOKUP(C325, Merchants!$A$2:$D$41, 2, FALSE), "Merchant not found")</f>
        <v/>
      </c>
      <c r="J325">
        <f>IFERROR(VLOOKUP(C325, Merchants!$A$2:$D$41, 3, FALSE), "Merchant not found")</f>
        <v/>
      </c>
      <c r="K325">
        <f>IFERROR(VLOOKUP(C325, Merchants!$A$2:$D$41, 4, FALSE), "Merchant not found")</f>
        <v/>
      </c>
      <c r="L325">
        <f>HLOOKUP(F325, Fee_Tiers!$B$1:$E$2, 2, FALSE)</f>
        <v/>
      </c>
      <c r="M325">
        <f>IF(AND(E325&gt;5000, K325&lt;&gt;"&gt;East"), "High-Value Merchant Day", "Standard")</f>
        <v/>
      </c>
    </row>
    <row r="326">
      <c r="A326" t="inlineStr">
        <is>
          <t>TXN100324</t>
        </is>
      </c>
      <c r="B326" t="n">
        <v>177</v>
      </c>
      <c r="C326" t="n">
        <v>9</v>
      </c>
      <c r="D326" t="inlineStr">
        <is>
          <t>2026-01-15 21:33:00</t>
        </is>
      </c>
      <c r="E326" t="n">
        <v>99</v>
      </c>
      <c r="F326" t="inlineStr">
        <is>
          <t>UPI</t>
        </is>
      </c>
      <c r="G326" t="inlineStr">
        <is>
          <t>captured</t>
        </is>
      </c>
      <c r="H326" t="n">
        <v>99</v>
      </c>
      <c r="I326">
        <f>IFERROR(VLOOKUP(C326, Merchants!$A$2:$D$41, 2, FALSE), "Merchant not found")</f>
        <v/>
      </c>
      <c r="J326">
        <f>IFERROR(VLOOKUP(C326, Merchants!$A$2:$D$41, 3, FALSE), "Merchant not found")</f>
        <v/>
      </c>
      <c r="K326">
        <f>IFERROR(VLOOKUP(C326, Merchants!$A$2:$D$41, 4, FALSE), "Merchant not found")</f>
        <v/>
      </c>
      <c r="L326">
        <f>HLOOKUP(F326, Fee_Tiers!$B$1:$E$2, 2, FALSE)</f>
        <v/>
      </c>
      <c r="M326">
        <f>IF(AND(E326&gt;5000, K326&lt;&gt;"&gt;East"), "High-Value Merchant Day", "Standard")</f>
        <v/>
      </c>
    </row>
    <row r="327">
      <c r="A327" t="inlineStr">
        <is>
          <t>TXN100325</t>
        </is>
      </c>
      <c r="B327" t="n">
        <v>94</v>
      </c>
      <c r="C327" t="n">
        <v>9</v>
      </c>
      <c r="D327" t="inlineStr">
        <is>
          <t>2026-01-18 20:37:00</t>
        </is>
      </c>
      <c r="E327" t="n">
        <v>299</v>
      </c>
      <c r="F327" t="inlineStr">
        <is>
          <t>UPI</t>
        </is>
      </c>
      <c r="G327" t="inlineStr">
        <is>
          <t>captured</t>
        </is>
      </c>
      <c r="H327" t="n">
        <v>55</v>
      </c>
      <c r="I327">
        <f>IFERROR(VLOOKUP(C327, Merchants!$A$2:$D$41, 2, FALSE), "Merchant not found")</f>
        <v/>
      </c>
      <c r="J327">
        <f>IFERROR(VLOOKUP(C327, Merchants!$A$2:$D$41, 3, FALSE), "Merchant not found")</f>
        <v/>
      </c>
      <c r="K327">
        <f>IFERROR(VLOOKUP(C327, Merchants!$A$2:$D$41, 4, FALSE), "Merchant not found")</f>
        <v/>
      </c>
      <c r="L327">
        <f>HLOOKUP(F327, Fee_Tiers!$B$1:$E$2, 2, FALSE)</f>
        <v/>
      </c>
      <c r="M327">
        <f>IF(AND(E327&gt;5000, K327&lt;&gt;"&gt;East"), "High-Value Merchant Day", "Standard")</f>
        <v/>
      </c>
    </row>
    <row r="328">
      <c r="A328" t="inlineStr">
        <is>
          <t>TXN100326</t>
        </is>
      </c>
      <c r="B328" t="n">
        <v>64</v>
      </c>
      <c r="C328" t="n">
        <v>34</v>
      </c>
      <c r="D328" t="inlineStr">
        <is>
          <t>2026-01-17 01:53:00</t>
        </is>
      </c>
      <c r="E328" t="n">
        <v>299</v>
      </c>
      <c r="F328" t="inlineStr">
        <is>
          <t>UPI</t>
        </is>
      </c>
      <c r="G328" t="inlineStr">
        <is>
          <t>captured</t>
        </is>
      </c>
      <c r="H328" t="n">
        <v>19</v>
      </c>
      <c r="I328">
        <f>IFERROR(VLOOKUP(C328, Merchants!$A$2:$D$41, 2, FALSE), "Merchant not found")</f>
        <v/>
      </c>
      <c r="J328">
        <f>IFERROR(VLOOKUP(C328, Merchants!$A$2:$D$41, 3, FALSE), "Merchant not found")</f>
        <v/>
      </c>
      <c r="K328">
        <f>IFERROR(VLOOKUP(C328, Merchants!$A$2:$D$41, 4, FALSE), "Merchant not found")</f>
        <v/>
      </c>
      <c r="L328">
        <f>HLOOKUP(F328, Fee_Tiers!$B$1:$E$2, 2, FALSE)</f>
        <v/>
      </c>
      <c r="M328">
        <f>IF(AND(E328&gt;5000, K328&lt;&gt;"&gt;East"), "High-Value Merchant Day", "Standard")</f>
        <v/>
      </c>
    </row>
    <row r="329">
      <c r="A329" t="inlineStr">
        <is>
          <t>TXN100327</t>
        </is>
      </c>
      <c r="B329" t="n">
        <v>166</v>
      </c>
      <c r="C329" t="n">
        <v>15</v>
      </c>
      <c r="D329" t="inlineStr">
        <is>
          <t>2026-01-10 05:10:00</t>
        </is>
      </c>
      <c r="E329" t="n">
        <v>49</v>
      </c>
      <c r="F329" t="inlineStr">
        <is>
          <t>UPI</t>
        </is>
      </c>
      <c r="G329" t="inlineStr">
        <is>
          <t>captured</t>
        </is>
      </c>
      <c r="H329" t="n">
        <v>44</v>
      </c>
      <c r="I329">
        <f>IFERROR(VLOOKUP(C329, Merchants!$A$2:$D$41, 2, FALSE), "Merchant not found")</f>
        <v/>
      </c>
      <c r="J329">
        <f>IFERROR(VLOOKUP(C329, Merchants!$A$2:$D$41, 3, FALSE), "Merchant not found")</f>
        <v/>
      </c>
      <c r="K329">
        <f>IFERROR(VLOOKUP(C329, Merchants!$A$2:$D$41, 4, FALSE), "Merchant not found")</f>
        <v/>
      </c>
      <c r="L329">
        <f>HLOOKUP(F329, Fee_Tiers!$B$1:$E$2, 2, FALSE)</f>
        <v/>
      </c>
      <c r="M329">
        <f>IF(AND(E329&gt;5000, K329&lt;&gt;"&gt;East"), "High-Value Merchant Day", "Standard")</f>
        <v/>
      </c>
    </row>
    <row r="330">
      <c r="A330" t="inlineStr">
        <is>
          <t>TXN100328</t>
        </is>
      </c>
      <c r="B330" t="n">
        <v>41</v>
      </c>
      <c r="C330" t="n">
        <v>17</v>
      </c>
      <c r="D330" t="inlineStr">
        <is>
          <t>2026-01-17 09:54:00</t>
        </is>
      </c>
      <c r="E330" t="n">
        <v>299</v>
      </c>
      <c r="F330" t="inlineStr">
        <is>
          <t>Wallet</t>
        </is>
      </c>
      <c r="G330" t="inlineStr">
        <is>
          <t>captured</t>
        </is>
      </c>
      <c r="H330" t="n">
        <v>25</v>
      </c>
      <c r="I330">
        <f>IFERROR(VLOOKUP(C330, Merchants!$A$2:$D$41, 2, FALSE), "Merchant not found")</f>
        <v/>
      </c>
      <c r="J330">
        <f>IFERROR(VLOOKUP(C330, Merchants!$A$2:$D$41, 3, FALSE), "Merchant not found")</f>
        <v/>
      </c>
      <c r="K330">
        <f>IFERROR(VLOOKUP(C330, Merchants!$A$2:$D$41, 4, FALSE), "Merchant not found")</f>
        <v/>
      </c>
      <c r="L330">
        <f>HLOOKUP(F330, Fee_Tiers!$B$1:$E$2, 2, FALSE)</f>
        <v/>
      </c>
      <c r="M330">
        <f>IF(AND(E330&gt;5000, K330&lt;&gt;"&gt;East"), "High-Value Merchant Day", "Standard")</f>
        <v/>
      </c>
    </row>
    <row r="331">
      <c r="A331" t="inlineStr">
        <is>
          <t>TXN100329</t>
        </is>
      </c>
      <c r="B331" t="n">
        <v>65</v>
      </c>
      <c r="C331" t="n">
        <v>20</v>
      </c>
      <c r="D331" t="inlineStr">
        <is>
          <t>2026-01-21 17:17:00</t>
        </is>
      </c>
      <c r="E331" t="n">
        <v>99</v>
      </c>
      <c r="F331" t="inlineStr">
        <is>
          <t>Card</t>
        </is>
      </c>
      <c r="G331" t="inlineStr">
        <is>
          <t>captured</t>
        </is>
      </c>
      <c r="H331" t="n">
        <v>78</v>
      </c>
      <c r="I331">
        <f>IFERROR(VLOOKUP(C331, Merchants!$A$2:$D$41, 2, FALSE), "Merchant not found")</f>
        <v/>
      </c>
      <c r="J331">
        <f>IFERROR(VLOOKUP(C331, Merchants!$A$2:$D$41, 3, FALSE), "Merchant not found")</f>
        <v/>
      </c>
      <c r="K331">
        <f>IFERROR(VLOOKUP(C331, Merchants!$A$2:$D$41, 4, FALSE), "Merchant not found")</f>
        <v/>
      </c>
      <c r="L331">
        <f>HLOOKUP(F331, Fee_Tiers!$B$1:$E$2, 2, FALSE)</f>
        <v/>
      </c>
      <c r="M331">
        <f>IF(AND(E331&gt;5000, K331&lt;&gt;"&gt;East"), "High-Value Merchant Day", "Standard")</f>
        <v/>
      </c>
    </row>
    <row r="332">
      <c r="A332" t="inlineStr">
        <is>
          <t>TXN100330</t>
        </is>
      </c>
      <c r="B332" t="n">
        <v>329</v>
      </c>
      <c r="C332" t="n">
        <v>11</v>
      </c>
      <c r="D332" t="inlineStr">
        <is>
          <t>2026-01-18 02:32:00</t>
        </is>
      </c>
      <c r="E332" t="n">
        <v>499</v>
      </c>
      <c r="F332" t="inlineStr">
        <is>
          <t>UPI</t>
        </is>
      </c>
      <c r="G332" t="inlineStr">
        <is>
          <t>captured</t>
        </is>
      </c>
      <c r="H332" t="n">
        <v>75</v>
      </c>
      <c r="I332">
        <f>IFERROR(VLOOKUP(C332, Merchants!$A$2:$D$41, 2, FALSE), "Merchant not found")</f>
        <v/>
      </c>
      <c r="J332">
        <f>IFERROR(VLOOKUP(C332, Merchants!$A$2:$D$41, 3, FALSE), "Merchant not found")</f>
        <v/>
      </c>
      <c r="K332">
        <f>IFERROR(VLOOKUP(C332, Merchants!$A$2:$D$41, 4, FALSE), "Merchant not found")</f>
        <v/>
      </c>
      <c r="L332">
        <f>HLOOKUP(F332, Fee_Tiers!$B$1:$E$2, 2, FALSE)</f>
        <v/>
      </c>
      <c r="M332">
        <f>IF(AND(E332&gt;5000, K332&lt;&gt;"&gt;East"), "High-Value Merchant Day", "Standard")</f>
        <v/>
      </c>
    </row>
    <row r="333">
      <c r="A333" t="inlineStr">
        <is>
          <t>TXN100331</t>
        </is>
      </c>
      <c r="B333" t="n">
        <v>338</v>
      </c>
      <c r="C333" t="n">
        <v>40</v>
      </c>
      <c r="D333" t="inlineStr">
        <is>
          <t>2026-01-19 04:10:00</t>
        </is>
      </c>
      <c r="E333" t="n">
        <v>149</v>
      </c>
      <c r="F333" t="inlineStr">
        <is>
          <t>UPI</t>
        </is>
      </c>
      <c r="G333" t="inlineStr">
        <is>
          <t>captured</t>
        </is>
      </c>
      <c r="H333" t="n">
        <v>92</v>
      </c>
      <c r="I333">
        <f>IFERROR(VLOOKUP(C333, Merchants!$A$2:$D$41, 2, FALSE), "Merchant not found")</f>
        <v/>
      </c>
      <c r="J333">
        <f>IFERROR(VLOOKUP(C333, Merchants!$A$2:$D$41, 3, FALSE), "Merchant not found")</f>
        <v/>
      </c>
      <c r="K333">
        <f>IFERROR(VLOOKUP(C333, Merchants!$A$2:$D$41, 4, FALSE), "Merchant not found")</f>
        <v/>
      </c>
      <c r="L333">
        <f>HLOOKUP(F333, Fee_Tiers!$B$1:$E$2, 2, FALSE)</f>
        <v/>
      </c>
      <c r="M333">
        <f>IF(AND(E333&gt;5000, K333&lt;&gt;"&gt;East"), "High-Value Merchant Day", "Standard")</f>
        <v/>
      </c>
    </row>
    <row r="334">
      <c r="A334" t="inlineStr">
        <is>
          <t>TXN100332</t>
        </is>
      </c>
      <c r="B334" t="n">
        <v>289</v>
      </c>
      <c r="C334" t="n">
        <v>3</v>
      </c>
      <c r="D334" t="inlineStr">
        <is>
          <t>2026-01-29 19:21:00</t>
        </is>
      </c>
      <c r="E334" t="n">
        <v>49</v>
      </c>
      <c r="F334" t="inlineStr">
        <is>
          <t>Netbanking</t>
        </is>
      </c>
      <c r="G334" t="inlineStr">
        <is>
          <t>captured</t>
        </is>
      </c>
      <c r="H334" t="n">
        <v>3</v>
      </c>
      <c r="I334">
        <f>IFERROR(VLOOKUP(C334, Merchants!$A$2:$D$41, 2, FALSE), "Merchant not found")</f>
        <v/>
      </c>
      <c r="J334">
        <f>IFERROR(VLOOKUP(C334, Merchants!$A$2:$D$41, 3, FALSE), "Merchant not found")</f>
        <v/>
      </c>
      <c r="K334">
        <f>IFERROR(VLOOKUP(C334, Merchants!$A$2:$D$41, 4, FALSE), "Merchant not found")</f>
        <v/>
      </c>
      <c r="L334">
        <f>HLOOKUP(F334, Fee_Tiers!$B$1:$E$2, 2, FALSE)</f>
        <v/>
      </c>
      <c r="M334">
        <f>IF(AND(E334&gt;5000, K334&lt;&gt;"&gt;East"), "High-Value Merchant Day", "Standard")</f>
        <v/>
      </c>
    </row>
    <row r="335">
      <c r="A335" t="inlineStr">
        <is>
          <t>TXN100333</t>
        </is>
      </c>
      <c r="B335" t="n">
        <v>296</v>
      </c>
      <c r="C335" t="n">
        <v>17</v>
      </c>
      <c r="D335" t="inlineStr">
        <is>
          <t>2026-01-03 01:41:00</t>
        </is>
      </c>
      <c r="E335" t="n">
        <v>99</v>
      </c>
      <c r="F335" t="inlineStr">
        <is>
          <t>UPI</t>
        </is>
      </c>
      <c r="G335" t="inlineStr">
        <is>
          <t>captured</t>
        </is>
      </c>
      <c r="H335" t="n">
        <v>83</v>
      </c>
      <c r="I335">
        <f>IFERROR(VLOOKUP(C335, Merchants!$A$2:$D$41, 2, FALSE), "Merchant not found")</f>
        <v/>
      </c>
      <c r="J335">
        <f>IFERROR(VLOOKUP(C335, Merchants!$A$2:$D$41, 3, FALSE), "Merchant not found")</f>
        <v/>
      </c>
      <c r="K335">
        <f>IFERROR(VLOOKUP(C335, Merchants!$A$2:$D$41, 4, FALSE), "Merchant not found")</f>
        <v/>
      </c>
      <c r="L335">
        <f>HLOOKUP(F335, Fee_Tiers!$B$1:$E$2, 2, FALSE)</f>
        <v/>
      </c>
      <c r="M335">
        <f>IF(AND(E335&gt;5000, K335&lt;&gt;"&gt;East"), "High-Value Merchant Day", "Standard")</f>
        <v/>
      </c>
    </row>
    <row r="336">
      <c r="A336" t="inlineStr">
        <is>
          <t>TXN100334</t>
        </is>
      </c>
      <c r="B336" t="n">
        <v>317</v>
      </c>
      <c r="C336" t="n">
        <v>2</v>
      </c>
      <c r="D336" t="inlineStr">
        <is>
          <t>2026-01-07 18:26:00</t>
        </is>
      </c>
      <c r="E336" t="n">
        <v>499</v>
      </c>
      <c r="F336" t="inlineStr">
        <is>
          <t>Card</t>
        </is>
      </c>
      <c r="G336" t="inlineStr">
        <is>
          <t>captured</t>
        </is>
      </c>
      <c r="H336" t="n">
        <v>63</v>
      </c>
      <c r="I336">
        <f>IFERROR(VLOOKUP(C336, Merchants!$A$2:$D$41, 2, FALSE), "Merchant not found")</f>
        <v/>
      </c>
      <c r="J336">
        <f>IFERROR(VLOOKUP(C336, Merchants!$A$2:$D$41, 3, FALSE), "Merchant not found")</f>
        <v/>
      </c>
      <c r="K336">
        <f>IFERROR(VLOOKUP(C336, Merchants!$A$2:$D$41, 4, FALSE), "Merchant not found")</f>
        <v/>
      </c>
      <c r="L336">
        <f>HLOOKUP(F336, Fee_Tiers!$B$1:$E$2, 2, FALSE)</f>
        <v/>
      </c>
      <c r="M336">
        <f>IF(AND(E336&gt;5000, K336&lt;&gt;"&gt;East"), "High-Value Merchant Day", "Standard")</f>
        <v/>
      </c>
    </row>
    <row r="337">
      <c r="A337" t="inlineStr">
        <is>
          <t>TXN100335</t>
        </is>
      </c>
      <c r="B337" t="n">
        <v>149</v>
      </c>
      <c r="C337" t="n">
        <v>20</v>
      </c>
      <c r="D337" t="inlineStr">
        <is>
          <t>2026-01-29 20:34:00</t>
        </is>
      </c>
      <c r="E337" t="n">
        <v>499</v>
      </c>
      <c r="F337" t="inlineStr">
        <is>
          <t>Card</t>
        </is>
      </c>
      <c r="G337" t="inlineStr">
        <is>
          <t>captured</t>
        </is>
      </c>
      <c r="H337" t="n">
        <v>61</v>
      </c>
      <c r="I337">
        <f>IFERROR(VLOOKUP(C337, Merchants!$A$2:$D$41, 2, FALSE), "Merchant not found")</f>
        <v/>
      </c>
      <c r="J337">
        <f>IFERROR(VLOOKUP(C337, Merchants!$A$2:$D$41, 3, FALSE), "Merchant not found")</f>
        <v/>
      </c>
      <c r="K337">
        <f>IFERROR(VLOOKUP(C337, Merchants!$A$2:$D$41, 4, FALSE), "Merchant not found")</f>
        <v/>
      </c>
      <c r="L337">
        <f>HLOOKUP(F337, Fee_Tiers!$B$1:$E$2, 2, FALSE)</f>
        <v/>
      </c>
      <c r="M337">
        <f>IF(AND(E337&gt;5000, K337&lt;&gt;"&gt;East"), "High-Value Merchant Day", "Standard")</f>
        <v/>
      </c>
    </row>
    <row r="338">
      <c r="A338" t="inlineStr">
        <is>
          <t>TXN100336</t>
        </is>
      </c>
      <c r="B338" t="n">
        <v>153</v>
      </c>
      <c r="C338" t="n">
        <v>30</v>
      </c>
      <c r="D338" t="inlineStr">
        <is>
          <t>2026-01-08 21:25:00</t>
        </is>
      </c>
      <c r="E338" t="n">
        <v>299</v>
      </c>
      <c r="F338" t="inlineStr">
        <is>
          <t>UPI</t>
        </is>
      </c>
      <c r="G338" t="inlineStr">
        <is>
          <t>captured</t>
        </is>
      </c>
      <c r="H338" t="n">
        <v>9</v>
      </c>
      <c r="I338">
        <f>IFERROR(VLOOKUP(C338, Merchants!$A$2:$D$41, 2, FALSE), "Merchant not found")</f>
        <v/>
      </c>
      <c r="J338">
        <f>IFERROR(VLOOKUP(C338, Merchants!$A$2:$D$41, 3, FALSE), "Merchant not found")</f>
        <v/>
      </c>
      <c r="K338">
        <f>IFERROR(VLOOKUP(C338, Merchants!$A$2:$D$41, 4, FALSE), "Merchant not found")</f>
        <v/>
      </c>
      <c r="L338">
        <f>HLOOKUP(F338, Fee_Tiers!$B$1:$E$2, 2, FALSE)</f>
        <v/>
      </c>
      <c r="M338">
        <f>IF(AND(E338&gt;5000, K338&lt;&gt;"&gt;East"), "High-Value Merchant Day", "Standard")</f>
        <v/>
      </c>
    </row>
    <row r="339">
      <c r="A339" t="inlineStr">
        <is>
          <t>TXN100337</t>
        </is>
      </c>
      <c r="B339" t="n">
        <v>226</v>
      </c>
      <c r="C339" t="n">
        <v>27</v>
      </c>
      <c r="D339" t="inlineStr">
        <is>
          <t>2026-01-23 01:10:00</t>
        </is>
      </c>
      <c r="E339" t="n">
        <v>2999</v>
      </c>
      <c r="F339" t="inlineStr">
        <is>
          <t>UPI</t>
        </is>
      </c>
      <c r="G339" t="inlineStr">
        <is>
          <t>chargeback</t>
        </is>
      </c>
      <c r="H339" t="n">
        <v>61</v>
      </c>
      <c r="I339">
        <f>IFERROR(VLOOKUP(C339, Merchants!$A$2:$D$41, 2, FALSE), "Merchant not found")</f>
        <v/>
      </c>
      <c r="J339">
        <f>IFERROR(VLOOKUP(C339, Merchants!$A$2:$D$41, 3, FALSE), "Merchant not found")</f>
        <v/>
      </c>
      <c r="K339">
        <f>IFERROR(VLOOKUP(C339, Merchants!$A$2:$D$41, 4, FALSE), "Merchant not found")</f>
        <v/>
      </c>
      <c r="L339">
        <f>HLOOKUP(F339, Fee_Tiers!$B$1:$E$2, 2, FALSE)</f>
        <v/>
      </c>
      <c r="M339">
        <f>IF(AND(E339&gt;5000, K339&lt;&gt;"&gt;East"), "High-Value Merchant Day", "Standard")</f>
        <v/>
      </c>
    </row>
    <row r="340">
      <c r="A340" t="inlineStr">
        <is>
          <t>TXN100338</t>
        </is>
      </c>
      <c r="B340" t="n">
        <v>311</v>
      </c>
      <c r="C340" t="n">
        <v>10</v>
      </c>
      <c r="D340" t="inlineStr">
        <is>
          <t>2026-01-15 06:21:00</t>
        </is>
      </c>
      <c r="E340" t="n">
        <v>2999</v>
      </c>
      <c r="F340" t="inlineStr">
        <is>
          <t>UPI</t>
        </is>
      </c>
      <c r="G340" t="inlineStr">
        <is>
          <t>captured</t>
        </is>
      </c>
      <c r="H340" t="n">
        <v>40</v>
      </c>
      <c r="I340">
        <f>IFERROR(VLOOKUP(C340, Merchants!$A$2:$D$41, 2, FALSE), "Merchant not found")</f>
        <v/>
      </c>
      <c r="J340">
        <f>IFERROR(VLOOKUP(C340, Merchants!$A$2:$D$41, 3, FALSE), "Merchant not found")</f>
        <v/>
      </c>
      <c r="K340">
        <f>IFERROR(VLOOKUP(C340, Merchants!$A$2:$D$41, 4, FALSE), "Merchant not found")</f>
        <v/>
      </c>
      <c r="L340">
        <f>HLOOKUP(F340, Fee_Tiers!$B$1:$E$2, 2, FALSE)</f>
        <v/>
      </c>
      <c r="M340">
        <f>IF(AND(E340&gt;5000, K340&lt;&gt;"&gt;East"), "High-Value Merchant Day", "Standard")</f>
        <v/>
      </c>
    </row>
    <row r="341">
      <c r="A341" t="inlineStr">
        <is>
          <t>TXN100339</t>
        </is>
      </c>
      <c r="B341" t="n">
        <v>177</v>
      </c>
      <c r="C341" t="n">
        <v>26</v>
      </c>
      <c r="D341" t="inlineStr">
        <is>
          <t>2026-01-28 22:20:00</t>
        </is>
      </c>
      <c r="E341" t="n">
        <v>1499</v>
      </c>
      <c r="F341" t="inlineStr">
        <is>
          <t>UPI</t>
        </is>
      </c>
      <c r="G341" t="inlineStr">
        <is>
          <t>captured</t>
        </is>
      </c>
      <c r="H341" t="n">
        <v>16</v>
      </c>
      <c r="I341">
        <f>IFERROR(VLOOKUP(C341, Merchants!$A$2:$D$41, 2, FALSE), "Merchant not found")</f>
        <v/>
      </c>
      <c r="J341">
        <f>IFERROR(VLOOKUP(C341, Merchants!$A$2:$D$41, 3, FALSE), "Merchant not found")</f>
        <v/>
      </c>
      <c r="K341">
        <f>IFERROR(VLOOKUP(C341, Merchants!$A$2:$D$41, 4, FALSE), "Merchant not found")</f>
        <v/>
      </c>
      <c r="L341">
        <f>HLOOKUP(F341, Fee_Tiers!$B$1:$E$2, 2, FALSE)</f>
        <v/>
      </c>
      <c r="M341">
        <f>IF(AND(E341&gt;5000, K341&lt;&gt;"&gt;East"), "High-Value Merchant Day", "Standard")</f>
        <v/>
      </c>
    </row>
    <row r="342">
      <c r="A342" t="inlineStr">
        <is>
          <t>TXN100340</t>
        </is>
      </c>
      <c r="B342" t="n">
        <v>288</v>
      </c>
      <c r="C342" t="n">
        <v>7</v>
      </c>
      <c r="D342" t="inlineStr">
        <is>
          <t>2026-01-25 11:32:00</t>
        </is>
      </c>
      <c r="E342" t="n">
        <v>99</v>
      </c>
      <c r="F342" t="inlineStr">
        <is>
          <t>Netbanking</t>
        </is>
      </c>
      <c r="G342" t="inlineStr">
        <is>
          <t>captured</t>
        </is>
      </c>
      <c r="H342" t="n">
        <v>40</v>
      </c>
      <c r="I342">
        <f>IFERROR(VLOOKUP(C342, Merchants!$A$2:$D$41, 2, FALSE), "Merchant not found")</f>
        <v/>
      </c>
      <c r="J342">
        <f>IFERROR(VLOOKUP(C342, Merchants!$A$2:$D$41, 3, FALSE), "Merchant not found")</f>
        <v/>
      </c>
      <c r="K342">
        <f>IFERROR(VLOOKUP(C342, Merchants!$A$2:$D$41, 4, FALSE), "Merchant not found")</f>
        <v/>
      </c>
      <c r="L342">
        <f>HLOOKUP(F342, Fee_Tiers!$B$1:$E$2, 2, FALSE)</f>
        <v/>
      </c>
      <c r="M342">
        <f>IF(AND(E342&gt;5000, K342&lt;&gt;"&gt;East"), "High-Value Merchant Day", "Standard")</f>
        <v/>
      </c>
    </row>
    <row r="343">
      <c r="A343" t="inlineStr">
        <is>
          <t>TXN100341</t>
        </is>
      </c>
      <c r="B343" t="n">
        <v>137</v>
      </c>
      <c r="C343" t="n">
        <v>29</v>
      </c>
      <c r="D343" t="inlineStr">
        <is>
          <t>2026-01-08 14:07:00</t>
        </is>
      </c>
      <c r="E343" t="n">
        <v>2999</v>
      </c>
      <c r="F343" t="inlineStr">
        <is>
          <t>UPI</t>
        </is>
      </c>
      <c r="G343" t="inlineStr">
        <is>
          <t>failed</t>
        </is>
      </c>
      <c r="H343" t="n">
        <v>31</v>
      </c>
      <c r="I343">
        <f>IFERROR(VLOOKUP(C343, Merchants!$A$2:$D$41, 2, FALSE), "Merchant not found")</f>
        <v/>
      </c>
      <c r="J343">
        <f>IFERROR(VLOOKUP(C343, Merchants!$A$2:$D$41, 3, FALSE), "Merchant not found")</f>
        <v/>
      </c>
      <c r="K343">
        <f>IFERROR(VLOOKUP(C343, Merchants!$A$2:$D$41, 4, FALSE), "Merchant not found")</f>
        <v/>
      </c>
      <c r="L343">
        <f>HLOOKUP(F343, Fee_Tiers!$B$1:$E$2, 2, FALSE)</f>
        <v/>
      </c>
      <c r="M343">
        <f>IF(AND(E343&gt;5000, K343&lt;&gt;"&gt;East"), "High-Value Merchant Day", "Standard")</f>
        <v/>
      </c>
    </row>
    <row r="344">
      <c r="A344" t="inlineStr">
        <is>
          <t>TXN100342</t>
        </is>
      </c>
      <c r="B344" t="n">
        <v>149</v>
      </c>
      <c r="C344" t="n">
        <v>25</v>
      </c>
      <c r="D344" t="inlineStr">
        <is>
          <t>2026-01-05 03:03:00</t>
        </is>
      </c>
      <c r="E344" t="n">
        <v>1499</v>
      </c>
      <c r="F344" t="inlineStr">
        <is>
          <t>UPI</t>
        </is>
      </c>
      <c r="G344" t="inlineStr">
        <is>
          <t>captured</t>
        </is>
      </c>
      <c r="H344" t="n">
        <v>78</v>
      </c>
      <c r="I344">
        <f>IFERROR(VLOOKUP(C344, Merchants!$A$2:$D$41, 2, FALSE), "Merchant not found")</f>
        <v/>
      </c>
      <c r="J344">
        <f>IFERROR(VLOOKUP(C344, Merchants!$A$2:$D$41, 3, FALSE), "Merchant not found")</f>
        <v/>
      </c>
      <c r="K344">
        <f>IFERROR(VLOOKUP(C344, Merchants!$A$2:$D$41, 4, FALSE), "Merchant not found")</f>
        <v/>
      </c>
      <c r="L344">
        <f>HLOOKUP(F344, Fee_Tiers!$B$1:$E$2, 2, FALSE)</f>
        <v/>
      </c>
      <c r="M344">
        <f>IF(AND(E344&gt;5000, K344&lt;&gt;"&gt;East"), "High-Value Merchant Day", "Standard")</f>
        <v/>
      </c>
    </row>
    <row r="345">
      <c r="A345" t="inlineStr">
        <is>
          <t>TXN100343</t>
        </is>
      </c>
      <c r="B345" t="n">
        <v>82</v>
      </c>
      <c r="C345" t="n">
        <v>21</v>
      </c>
      <c r="D345" t="inlineStr">
        <is>
          <t>2026-01-14 07:55:00</t>
        </is>
      </c>
      <c r="E345" t="n">
        <v>49</v>
      </c>
      <c r="F345" t="inlineStr">
        <is>
          <t>Wallet</t>
        </is>
      </c>
      <c r="G345" t="inlineStr">
        <is>
          <t>captured</t>
        </is>
      </c>
      <c r="H345" t="n">
        <v>73</v>
      </c>
      <c r="I345">
        <f>IFERROR(VLOOKUP(C345, Merchants!$A$2:$D$41, 2, FALSE), "Merchant not found")</f>
        <v/>
      </c>
      <c r="J345">
        <f>IFERROR(VLOOKUP(C345, Merchants!$A$2:$D$41, 3, FALSE), "Merchant not found")</f>
        <v/>
      </c>
      <c r="K345">
        <f>IFERROR(VLOOKUP(C345, Merchants!$A$2:$D$41, 4, FALSE), "Merchant not found")</f>
        <v/>
      </c>
      <c r="L345">
        <f>HLOOKUP(F345, Fee_Tiers!$B$1:$E$2, 2, FALSE)</f>
        <v/>
      </c>
      <c r="M345">
        <f>IF(AND(E345&gt;5000, K345&lt;&gt;"&gt;East"), "High-Value Merchant Day", "Standard")</f>
        <v/>
      </c>
    </row>
    <row r="346">
      <c r="A346" t="inlineStr">
        <is>
          <t>TXN100344</t>
        </is>
      </c>
      <c r="B346" t="n">
        <v>82</v>
      </c>
      <c r="C346" t="n">
        <v>32</v>
      </c>
      <c r="D346" t="inlineStr">
        <is>
          <t>2026-01-24 10:12:00</t>
        </is>
      </c>
      <c r="E346" t="n">
        <v>49</v>
      </c>
      <c r="F346" t="inlineStr">
        <is>
          <t>UPI</t>
        </is>
      </c>
      <c r="G346" t="inlineStr">
        <is>
          <t>captured</t>
        </is>
      </c>
      <c r="H346" t="n">
        <v>65</v>
      </c>
      <c r="I346">
        <f>IFERROR(VLOOKUP(C346, Merchants!$A$2:$D$41, 2, FALSE), "Merchant not found")</f>
        <v/>
      </c>
      <c r="J346">
        <f>IFERROR(VLOOKUP(C346, Merchants!$A$2:$D$41, 3, FALSE), "Merchant not found")</f>
        <v/>
      </c>
      <c r="K346">
        <f>IFERROR(VLOOKUP(C346, Merchants!$A$2:$D$41, 4, FALSE), "Merchant not found")</f>
        <v/>
      </c>
      <c r="L346">
        <f>HLOOKUP(F346, Fee_Tiers!$B$1:$E$2, 2, FALSE)</f>
        <v/>
      </c>
      <c r="M346">
        <f>IF(AND(E346&gt;5000, K346&lt;&gt;"&gt;East"), "High-Value Merchant Day", "Standard")</f>
        <v/>
      </c>
    </row>
    <row r="347">
      <c r="A347" t="inlineStr">
        <is>
          <t>TXN100345</t>
        </is>
      </c>
      <c r="B347" t="n">
        <v>158</v>
      </c>
      <c r="C347" t="n">
        <v>32</v>
      </c>
      <c r="D347" t="inlineStr">
        <is>
          <t>2026-01-15 15:56:00</t>
        </is>
      </c>
      <c r="E347" t="n">
        <v>99</v>
      </c>
      <c r="F347" t="inlineStr">
        <is>
          <t>Wallet</t>
        </is>
      </c>
      <c r="G347" t="inlineStr">
        <is>
          <t>captured</t>
        </is>
      </c>
      <c r="H347" t="n">
        <v>2</v>
      </c>
      <c r="I347">
        <f>IFERROR(VLOOKUP(C347, Merchants!$A$2:$D$41, 2, FALSE), "Merchant not found")</f>
        <v/>
      </c>
      <c r="J347">
        <f>IFERROR(VLOOKUP(C347, Merchants!$A$2:$D$41, 3, FALSE), "Merchant not found")</f>
        <v/>
      </c>
      <c r="K347">
        <f>IFERROR(VLOOKUP(C347, Merchants!$A$2:$D$41, 4, FALSE), "Merchant not found")</f>
        <v/>
      </c>
      <c r="L347">
        <f>HLOOKUP(F347, Fee_Tiers!$B$1:$E$2, 2, FALSE)</f>
        <v/>
      </c>
      <c r="M347">
        <f>IF(AND(E347&gt;5000, K347&lt;&gt;"&gt;East"), "High-Value Merchant Day", "Standard")</f>
        <v/>
      </c>
    </row>
    <row r="348">
      <c r="A348" t="inlineStr">
        <is>
          <t>TXN100346</t>
        </is>
      </c>
      <c r="B348" t="n">
        <v>235</v>
      </c>
      <c r="C348" t="n">
        <v>16</v>
      </c>
      <c r="D348" t="inlineStr">
        <is>
          <t>2026-01-03 12:32:00</t>
        </is>
      </c>
      <c r="E348" t="n">
        <v>99</v>
      </c>
      <c r="F348" t="inlineStr">
        <is>
          <t>UPI</t>
        </is>
      </c>
      <c r="G348" t="inlineStr">
        <is>
          <t>captured</t>
        </is>
      </c>
      <c r="H348" t="n">
        <v>27</v>
      </c>
      <c r="I348">
        <f>IFERROR(VLOOKUP(C348, Merchants!$A$2:$D$41, 2, FALSE), "Merchant not found")</f>
        <v/>
      </c>
      <c r="J348">
        <f>IFERROR(VLOOKUP(C348, Merchants!$A$2:$D$41, 3, FALSE), "Merchant not found")</f>
        <v/>
      </c>
      <c r="K348">
        <f>IFERROR(VLOOKUP(C348, Merchants!$A$2:$D$41, 4, FALSE), "Merchant not found")</f>
        <v/>
      </c>
      <c r="L348">
        <f>HLOOKUP(F348, Fee_Tiers!$B$1:$E$2, 2, FALSE)</f>
        <v/>
      </c>
      <c r="M348">
        <f>IF(AND(E348&gt;5000, K348&lt;&gt;"&gt;East"), "High-Value Merchant Day", "Standard")</f>
        <v/>
      </c>
    </row>
    <row r="349">
      <c r="A349" t="inlineStr">
        <is>
          <t>TXN100347</t>
        </is>
      </c>
      <c r="B349" t="n">
        <v>26</v>
      </c>
      <c r="C349" t="n">
        <v>19</v>
      </c>
      <c r="D349" t="inlineStr">
        <is>
          <t>2026-01-19 11:03:00</t>
        </is>
      </c>
      <c r="E349" t="n">
        <v>99</v>
      </c>
      <c r="F349" t="inlineStr">
        <is>
          <t>Wallet</t>
        </is>
      </c>
      <c r="G349" t="inlineStr">
        <is>
          <t>captured</t>
        </is>
      </c>
      <c r="H349" t="n">
        <v>63</v>
      </c>
      <c r="I349">
        <f>IFERROR(VLOOKUP(C349, Merchants!$A$2:$D$41, 2, FALSE), "Merchant not found")</f>
        <v/>
      </c>
      <c r="J349">
        <f>IFERROR(VLOOKUP(C349, Merchants!$A$2:$D$41, 3, FALSE), "Merchant not found")</f>
        <v/>
      </c>
      <c r="K349">
        <f>IFERROR(VLOOKUP(C349, Merchants!$A$2:$D$41, 4, FALSE), "Merchant not found")</f>
        <v/>
      </c>
      <c r="L349">
        <f>HLOOKUP(F349, Fee_Tiers!$B$1:$E$2, 2, FALSE)</f>
        <v/>
      </c>
      <c r="M349">
        <f>IF(AND(E349&gt;5000, K349&lt;&gt;"&gt;East"), "High-Value Merchant Day", "Standard")</f>
        <v/>
      </c>
    </row>
    <row r="350">
      <c r="A350" t="inlineStr">
        <is>
          <t>TXN100348</t>
        </is>
      </c>
      <c r="B350" t="n">
        <v>241</v>
      </c>
      <c r="C350" t="n">
        <v>19</v>
      </c>
      <c r="D350" t="inlineStr">
        <is>
          <t>2026-01-20 20:43:00</t>
        </is>
      </c>
      <c r="E350" t="n">
        <v>299</v>
      </c>
      <c r="F350" t="inlineStr">
        <is>
          <t>UPI</t>
        </is>
      </c>
      <c r="G350" t="inlineStr">
        <is>
          <t>captured</t>
        </is>
      </c>
      <c r="H350" t="n">
        <v>68</v>
      </c>
      <c r="I350">
        <f>IFERROR(VLOOKUP(C350, Merchants!$A$2:$D$41, 2, FALSE), "Merchant not found")</f>
        <v/>
      </c>
      <c r="J350">
        <f>IFERROR(VLOOKUP(C350, Merchants!$A$2:$D$41, 3, FALSE), "Merchant not found")</f>
        <v/>
      </c>
      <c r="K350">
        <f>IFERROR(VLOOKUP(C350, Merchants!$A$2:$D$41, 4, FALSE), "Merchant not found")</f>
        <v/>
      </c>
      <c r="L350">
        <f>HLOOKUP(F350, Fee_Tiers!$B$1:$E$2, 2, FALSE)</f>
        <v/>
      </c>
      <c r="M350">
        <f>IF(AND(E350&gt;5000, K350&lt;&gt;"&gt;East"), "High-Value Merchant Day", "Standard")</f>
        <v/>
      </c>
    </row>
    <row r="351">
      <c r="A351" t="inlineStr">
        <is>
          <t>TXN100349</t>
        </is>
      </c>
      <c r="B351" t="n">
        <v>69</v>
      </c>
      <c r="C351" t="n">
        <v>17</v>
      </c>
      <c r="D351" t="inlineStr">
        <is>
          <t>2026-01-01 03:27:00</t>
        </is>
      </c>
      <c r="E351" t="n">
        <v>1499</v>
      </c>
      <c r="F351" t="inlineStr">
        <is>
          <t>UPI</t>
        </is>
      </c>
      <c r="G351" t="inlineStr">
        <is>
          <t>captured</t>
        </is>
      </c>
      <c r="H351" t="n">
        <v>93</v>
      </c>
      <c r="I351">
        <f>IFERROR(VLOOKUP(C351, Merchants!$A$2:$D$41, 2, FALSE), "Merchant not found")</f>
        <v/>
      </c>
      <c r="J351">
        <f>IFERROR(VLOOKUP(C351, Merchants!$A$2:$D$41, 3, FALSE), "Merchant not found")</f>
        <v/>
      </c>
      <c r="K351">
        <f>IFERROR(VLOOKUP(C351, Merchants!$A$2:$D$41, 4, FALSE), "Merchant not found")</f>
        <v/>
      </c>
      <c r="L351">
        <f>HLOOKUP(F351, Fee_Tiers!$B$1:$E$2, 2, FALSE)</f>
        <v/>
      </c>
      <c r="M351">
        <f>IF(AND(E351&gt;5000, K351&lt;&gt;"&gt;East"), "High-Value Merchant Day", "Standard")</f>
        <v/>
      </c>
    </row>
    <row r="352">
      <c r="A352" t="inlineStr">
        <is>
          <t>TXN100350</t>
        </is>
      </c>
      <c r="B352" t="n">
        <v>24</v>
      </c>
      <c r="C352" t="n">
        <v>26</v>
      </c>
      <c r="D352" t="inlineStr">
        <is>
          <t>2026-01-12 12:23:00</t>
        </is>
      </c>
      <c r="E352" t="n">
        <v>299</v>
      </c>
      <c r="F352" t="inlineStr">
        <is>
          <t>Netbanking</t>
        </is>
      </c>
      <c r="G352" t="inlineStr">
        <is>
          <t>captured</t>
        </is>
      </c>
      <c r="H352" t="n">
        <v>6</v>
      </c>
      <c r="I352">
        <f>IFERROR(VLOOKUP(C352, Merchants!$A$2:$D$41, 2, FALSE), "Merchant not found")</f>
        <v/>
      </c>
      <c r="J352">
        <f>IFERROR(VLOOKUP(C352, Merchants!$A$2:$D$41, 3, FALSE), "Merchant not found")</f>
        <v/>
      </c>
      <c r="K352">
        <f>IFERROR(VLOOKUP(C352, Merchants!$A$2:$D$41, 4, FALSE), "Merchant not found")</f>
        <v/>
      </c>
      <c r="L352">
        <f>HLOOKUP(F352, Fee_Tiers!$B$1:$E$2, 2, FALSE)</f>
        <v/>
      </c>
      <c r="M352">
        <f>IF(AND(E352&gt;5000, K352&lt;&gt;"&gt;East"), "High-Value Merchant Day", "Standard")</f>
        <v/>
      </c>
    </row>
    <row r="353">
      <c r="A353" t="inlineStr">
        <is>
          <t>TXN100351</t>
        </is>
      </c>
      <c r="B353" t="n">
        <v>186</v>
      </c>
      <c r="C353" t="n">
        <v>36</v>
      </c>
      <c r="D353" t="inlineStr">
        <is>
          <t>2026-01-19 17:12:00</t>
        </is>
      </c>
      <c r="E353" t="n">
        <v>4999</v>
      </c>
      <c r="F353" t="inlineStr">
        <is>
          <t>UPI</t>
        </is>
      </c>
      <c r="G353" t="inlineStr">
        <is>
          <t>captured</t>
        </is>
      </c>
      <c r="H353" t="n">
        <v>36</v>
      </c>
      <c r="I353">
        <f>IFERROR(VLOOKUP(C353, Merchants!$A$2:$D$41, 2, FALSE), "Merchant not found")</f>
        <v/>
      </c>
      <c r="J353">
        <f>IFERROR(VLOOKUP(C353, Merchants!$A$2:$D$41, 3, FALSE), "Merchant not found")</f>
        <v/>
      </c>
      <c r="K353">
        <f>IFERROR(VLOOKUP(C353, Merchants!$A$2:$D$41, 4, FALSE), "Merchant not found")</f>
        <v/>
      </c>
      <c r="L353">
        <f>HLOOKUP(F353, Fee_Tiers!$B$1:$E$2, 2, FALSE)</f>
        <v/>
      </c>
      <c r="M353">
        <f>IF(AND(E353&gt;5000, K353&lt;&gt;"&gt;East"), "High-Value Merchant Day", "Standard")</f>
        <v/>
      </c>
    </row>
    <row r="354">
      <c r="A354" t="inlineStr">
        <is>
          <t>TXN100352</t>
        </is>
      </c>
      <c r="B354" t="n">
        <v>231</v>
      </c>
      <c r="C354" t="n">
        <v>36</v>
      </c>
      <c r="D354" t="inlineStr">
        <is>
          <t>2026-01-03 12:32:00</t>
        </is>
      </c>
      <c r="E354" t="n">
        <v>149</v>
      </c>
      <c r="F354" t="inlineStr">
        <is>
          <t>UPI</t>
        </is>
      </c>
      <c r="G354" t="inlineStr">
        <is>
          <t>captured</t>
        </is>
      </c>
      <c r="H354" t="n">
        <v>35</v>
      </c>
      <c r="I354">
        <f>IFERROR(VLOOKUP(C354, Merchants!$A$2:$D$41, 2, FALSE), "Merchant not found")</f>
        <v/>
      </c>
      <c r="J354">
        <f>IFERROR(VLOOKUP(C354, Merchants!$A$2:$D$41, 3, FALSE), "Merchant not found")</f>
        <v/>
      </c>
      <c r="K354">
        <f>IFERROR(VLOOKUP(C354, Merchants!$A$2:$D$41, 4, FALSE), "Merchant not found")</f>
        <v/>
      </c>
      <c r="L354">
        <f>HLOOKUP(F354, Fee_Tiers!$B$1:$E$2, 2, FALSE)</f>
        <v/>
      </c>
      <c r="M354">
        <f>IF(AND(E354&gt;5000, K354&lt;&gt;"&gt;East"), "High-Value Merchant Day", "Standard")</f>
        <v/>
      </c>
    </row>
    <row r="355">
      <c r="A355" t="inlineStr">
        <is>
          <t>TXN100353</t>
        </is>
      </c>
      <c r="B355" t="n">
        <v>313</v>
      </c>
      <c r="C355" t="n">
        <v>8</v>
      </c>
      <c r="D355" t="inlineStr">
        <is>
          <t>2026-01-27 19:43:00</t>
        </is>
      </c>
      <c r="E355" t="n">
        <v>1499</v>
      </c>
      <c r="F355" t="inlineStr">
        <is>
          <t>Netbanking</t>
        </is>
      </c>
      <c r="G355" t="inlineStr">
        <is>
          <t>captured</t>
        </is>
      </c>
      <c r="H355" t="n">
        <v>16</v>
      </c>
      <c r="I355">
        <f>IFERROR(VLOOKUP(C355, Merchants!$A$2:$D$41, 2, FALSE), "Merchant not found")</f>
        <v/>
      </c>
      <c r="J355">
        <f>IFERROR(VLOOKUP(C355, Merchants!$A$2:$D$41, 3, FALSE), "Merchant not found")</f>
        <v/>
      </c>
      <c r="K355">
        <f>IFERROR(VLOOKUP(C355, Merchants!$A$2:$D$41, 4, FALSE), "Merchant not found")</f>
        <v/>
      </c>
      <c r="L355">
        <f>HLOOKUP(F355, Fee_Tiers!$B$1:$E$2, 2, FALSE)</f>
        <v/>
      </c>
      <c r="M355">
        <f>IF(AND(E355&gt;5000, K355&lt;&gt;"&gt;East"), "High-Value Merchant Day", "Standard")</f>
        <v/>
      </c>
    </row>
    <row r="356">
      <c r="A356" t="inlineStr">
        <is>
          <t>TXN100354</t>
        </is>
      </c>
      <c r="B356" t="n">
        <v>174</v>
      </c>
      <c r="C356" t="n">
        <v>36</v>
      </c>
      <c r="D356" t="inlineStr">
        <is>
          <t>2026-01-04 12:23:00</t>
        </is>
      </c>
      <c r="E356" t="n">
        <v>149</v>
      </c>
      <c r="F356" t="inlineStr">
        <is>
          <t>UPI</t>
        </is>
      </c>
      <c r="G356" t="inlineStr">
        <is>
          <t>captured</t>
        </is>
      </c>
      <c r="H356" t="n">
        <v>46</v>
      </c>
      <c r="I356">
        <f>IFERROR(VLOOKUP(C356, Merchants!$A$2:$D$41, 2, FALSE), "Merchant not found")</f>
        <v/>
      </c>
      <c r="J356">
        <f>IFERROR(VLOOKUP(C356, Merchants!$A$2:$D$41, 3, FALSE), "Merchant not found")</f>
        <v/>
      </c>
      <c r="K356">
        <f>IFERROR(VLOOKUP(C356, Merchants!$A$2:$D$41, 4, FALSE), "Merchant not found")</f>
        <v/>
      </c>
      <c r="L356">
        <f>HLOOKUP(F356, Fee_Tiers!$B$1:$E$2, 2, FALSE)</f>
        <v/>
      </c>
      <c r="M356">
        <f>IF(AND(E356&gt;5000, K356&lt;&gt;"&gt;East"), "High-Value Merchant Day", "Standard")</f>
        <v/>
      </c>
    </row>
    <row r="357">
      <c r="A357" t="inlineStr">
        <is>
          <t>TXN100355</t>
        </is>
      </c>
      <c r="B357" t="n">
        <v>309</v>
      </c>
      <c r="C357" t="n">
        <v>33</v>
      </c>
      <c r="D357" t="inlineStr">
        <is>
          <t>2026-01-25 04:12:00</t>
        </is>
      </c>
      <c r="E357" t="n">
        <v>99</v>
      </c>
      <c r="F357" t="inlineStr">
        <is>
          <t>UPI</t>
        </is>
      </c>
      <c r="G357" t="inlineStr">
        <is>
          <t>captured</t>
        </is>
      </c>
      <c r="H357" t="n">
        <v>51</v>
      </c>
      <c r="I357">
        <f>IFERROR(VLOOKUP(C357, Merchants!$A$2:$D$41, 2, FALSE), "Merchant not found")</f>
        <v/>
      </c>
      <c r="J357">
        <f>IFERROR(VLOOKUP(C357, Merchants!$A$2:$D$41, 3, FALSE), "Merchant not found")</f>
        <v/>
      </c>
      <c r="K357">
        <f>IFERROR(VLOOKUP(C357, Merchants!$A$2:$D$41, 4, FALSE), "Merchant not found")</f>
        <v/>
      </c>
      <c r="L357">
        <f>HLOOKUP(F357, Fee_Tiers!$B$1:$E$2, 2, FALSE)</f>
        <v/>
      </c>
      <c r="M357">
        <f>IF(AND(E357&gt;5000, K357&lt;&gt;"&gt;East"), "High-Value Merchant Day", "Standard")</f>
        <v/>
      </c>
    </row>
    <row r="358">
      <c r="A358" t="inlineStr">
        <is>
          <t>TXN100356</t>
        </is>
      </c>
      <c r="B358" t="n">
        <v>20</v>
      </c>
      <c r="C358" t="n">
        <v>9</v>
      </c>
      <c r="D358" t="inlineStr">
        <is>
          <t>2026-01-17 01:02:00</t>
        </is>
      </c>
      <c r="E358" t="n">
        <v>99</v>
      </c>
      <c r="F358" t="inlineStr">
        <is>
          <t>UPI</t>
        </is>
      </c>
      <c r="G358" t="inlineStr">
        <is>
          <t>captured</t>
        </is>
      </c>
      <c r="H358" t="n">
        <v>91</v>
      </c>
      <c r="I358">
        <f>IFERROR(VLOOKUP(C358, Merchants!$A$2:$D$41, 2, FALSE), "Merchant not found")</f>
        <v/>
      </c>
      <c r="J358">
        <f>IFERROR(VLOOKUP(C358, Merchants!$A$2:$D$41, 3, FALSE), "Merchant not found")</f>
        <v/>
      </c>
      <c r="K358">
        <f>IFERROR(VLOOKUP(C358, Merchants!$A$2:$D$41, 4, FALSE), "Merchant not found")</f>
        <v/>
      </c>
      <c r="L358">
        <f>HLOOKUP(F358, Fee_Tiers!$B$1:$E$2, 2, FALSE)</f>
        <v/>
      </c>
      <c r="M358">
        <f>IF(AND(E358&gt;5000, K358&lt;&gt;"&gt;East"), "High-Value Merchant Day", "Standard")</f>
        <v/>
      </c>
    </row>
    <row r="359">
      <c r="A359" t="inlineStr">
        <is>
          <t>TXN100357</t>
        </is>
      </c>
      <c r="B359" t="n">
        <v>234</v>
      </c>
      <c r="C359" t="n">
        <v>10</v>
      </c>
      <c r="D359" t="inlineStr">
        <is>
          <t>2026-01-11 15:33:00</t>
        </is>
      </c>
      <c r="E359" t="n">
        <v>49</v>
      </c>
      <c r="F359" t="inlineStr">
        <is>
          <t>UPI</t>
        </is>
      </c>
      <c r="G359" t="inlineStr">
        <is>
          <t>captured</t>
        </is>
      </c>
      <c r="H359" t="n">
        <v>77</v>
      </c>
      <c r="I359">
        <f>IFERROR(VLOOKUP(C359, Merchants!$A$2:$D$41, 2, FALSE), "Merchant not found")</f>
        <v/>
      </c>
      <c r="J359">
        <f>IFERROR(VLOOKUP(C359, Merchants!$A$2:$D$41, 3, FALSE), "Merchant not found")</f>
        <v/>
      </c>
      <c r="K359">
        <f>IFERROR(VLOOKUP(C359, Merchants!$A$2:$D$41, 4, FALSE), "Merchant not found")</f>
        <v/>
      </c>
      <c r="L359">
        <f>HLOOKUP(F359, Fee_Tiers!$B$1:$E$2, 2, FALSE)</f>
        <v/>
      </c>
      <c r="M359">
        <f>IF(AND(E359&gt;5000, K359&lt;&gt;"&gt;East"), "High-Value Merchant Day", "Standard")</f>
        <v/>
      </c>
    </row>
    <row r="360">
      <c r="A360" t="inlineStr">
        <is>
          <t>TXN100358</t>
        </is>
      </c>
      <c r="B360" t="n">
        <v>168</v>
      </c>
      <c r="C360" t="n">
        <v>40</v>
      </c>
      <c r="D360" t="inlineStr">
        <is>
          <t>2026-01-29 16:08:00</t>
        </is>
      </c>
      <c r="E360" t="n">
        <v>149</v>
      </c>
      <c r="F360" t="inlineStr">
        <is>
          <t>UPI</t>
        </is>
      </c>
      <c r="G360" t="inlineStr">
        <is>
          <t>chargeback</t>
        </is>
      </c>
      <c r="H360" t="n">
        <v>40</v>
      </c>
      <c r="I360">
        <f>IFERROR(VLOOKUP(C360, Merchants!$A$2:$D$41, 2, FALSE), "Merchant not found")</f>
        <v/>
      </c>
      <c r="J360">
        <f>IFERROR(VLOOKUP(C360, Merchants!$A$2:$D$41, 3, FALSE), "Merchant not found")</f>
        <v/>
      </c>
      <c r="K360">
        <f>IFERROR(VLOOKUP(C360, Merchants!$A$2:$D$41, 4, FALSE), "Merchant not found")</f>
        <v/>
      </c>
      <c r="L360">
        <f>HLOOKUP(F360, Fee_Tiers!$B$1:$E$2, 2, FALSE)</f>
        <v/>
      </c>
      <c r="M360">
        <f>IF(AND(E360&gt;5000, K360&lt;&gt;"&gt;East"), "High-Value Merchant Day", "Standard")</f>
        <v/>
      </c>
    </row>
    <row r="361">
      <c r="A361" t="inlineStr">
        <is>
          <t>TXN100359</t>
        </is>
      </c>
      <c r="B361" t="n">
        <v>154</v>
      </c>
      <c r="C361" t="n">
        <v>38</v>
      </c>
      <c r="D361" t="inlineStr">
        <is>
          <t>2026-01-06 12:39:00</t>
        </is>
      </c>
      <c r="E361" t="n">
        <v>99</v>
      </c>
      <c r="F361" t="inlineStr">
        <is>
          <t>Netbanking</t>
        </is>
      </c>
      <c r="G361" t="inlineStr">
        <is>
          <t>captured</t>
        </is>
      </c>
      <c r="H361" t="n">
        <v>43</v>
      </c>
      <c r="I361">
        <f>IFERROR(VLOOKUP(C361, Merchants!$A$2:$D$41, 2, FALSE), "Merchant not found")</f>
        <v/>
      </c>
      <c r="J361">
        <f>IFERROR(VLOOKUP(C361, Merchants!$A$2:$D$41, 3, FALSE), "Merchant not found")</f>
        <v/>
      </c>
      <c r="K361">
        <f>IFERROR(VLOOKUP(C361, Merchants!$A$2:$D$41, 4, FALSE), "Merchant not found")</f>
        <v/>
      </c>
      <c r="L361">
        <f>HLOOKUP(F361, Fee_Tiers!$B$1:$E$2, 2, FALSE)</f>
        <v/>
      </c>
      <c r="M361">
        <f>IF(AND(E361&gt;5000, K361&lt;&gt;"&gt;East"), "High-Value Merchant Day", "Standard")</f>
        <v/>
      </c>
    </row>
    <row r="362">
      <c r="A362" t="inlineStr">
        <is>
          <t>TXN100360</t>
        </is>
      </c>
      <c r="B362" t="n">
        <v>251</v>
      </c>
      <c r="C362" t="n">
        <v>37</v>
      </c>
      <c r="D362" t="inlineStr">
        <is>
          <t>2026-01-17 16:34:00</t>
        </is>
      </c>
      <c r="E362" t="n">
        <v>49</v>
      </c>
      <c r="F362" t="inlineStr">
        <is>
          <t>UPI</t>
        </is>
      </c>
      <c r="G362" t="inlineStr">
        <is>
          <t>captured</t>
        </is>
      </c>
      <c r="H362" t="n">
        <v>38</v>
      </c>
      <c r="I362">
        <f>IFERROR(VLOOKUP(C362, Merchants!$A$2:$D$41, 2, FALSE), "Merchant not found")</f>
        <v/>
      </c>
      <c r="J362">
        <f>IFERROR(VLOOKUP(C362, Merchants!$A$2:$D$41, 3, FALSE), "Merchant not found")</f>
        <v/>
      </c>
      <c r="K362">
        <f>IFERROR(VLOOKUP(C362, Merchants!$A$2:$D$41, 4, FALSE), "Merchant not found")</f>
        <v/>
      </c>
      <c r="L362">
        <f>HLOOKUP(F362, Fee_Tiers!$B$1:$E$2, 2, FALSE)</f>
        <v/>
      </c>
      <c r="M362">
        <f>IF(AND(E362&gt;5000, K362&lt;&gt;"&gt;East"), "High-Value Merchant Day", "Standard")</f>
        <v/>
      </c>
    </row>
    <row r="363">
      <c r="A363" t="inlineStr">
        <is>
          <t>TXN100361</t>
        </is>
      </c>
      <c r="B363" t="n">
        <v>170</v>
      </c>
      <c r="C363" t="n">
        <v>8</v>
      </c>
      <c r="D363" t="inlineStr">
        <is>
          <t>2026-01-16 00:23:00</t>
        </is>
      </c>
      <c r="E363" t="n">
        <v>2999</v>
      </c>
      <c r="F363" t="inlineStr">
        <is>
          <t>UPI</t>
        </is>
      </c>
      <c r="G363" t="inlineStr">
        <is>
          <t>captured</t>
        </is>
      </c>
      <c r="H363" t="n">
        <v>53</v>
      </c>
      <c r="I363">
        <f>IFERROR(VLOOKUP(C363, Merchants!$A$2:$D$41, 2, FALSE), "Merchant not found")</f>
        <v/>
      </c>
      <c r="J363">
        <f>IFERROR(VLOOKUP(C363, Merchants!$A$2:$D$41, 3, FALSE), "Merchant not found")</f>
        <v/>
      </c>
      <c r="K363">
        <f>IFERROR(VLOOKUP(C363, Merchants!$A$2:$D$41, 4, FALSE), "Merchant not found")</f>
        <v/>
      </c>
      <c r="L363">
        <f>HLOOKUP(F363, Fee_Tiers!$B$1:$E$2, 2, FALSE)</f>
        <v/>
      </c>
      <c r="M363">
        <f>IF(AND(E363&gt;5000, K363&lt;&gt;"&gt;East"), "High-Value Merchant Day", "Standard")</f>
        <v/>
      </c>
    </row>
    <row r="364">
      <c r="A364" t="inlineStr">
        <is>
          <t>TXN100362</t>
        </is>
      </c>
      <c r="B364" t="n">
        <v>323</v>
      </c>
      <c r="C364" t="n">
        <v>2</v>
      </c>
      <c r="D364" t="inlineStr">
        <is>
          <t>2026-01-19 09:50:00</t>
        </is>
      </c>
      <c r="E364" t="n">
        <v>49</v>
      </c>
      <c r="F364" t="inlineStr">
        <is>
          <t>Netbanking</t>
        </is>
      </c>
      <c r="G364" t="inlineStr">
        <is>
          <t>captured</t>
        </is>
      </c>
      <c r="H364" t="n">
        <v>76</v>
      </c>
      <c r="I364">
        <f>IFERROR(VLOOKUP(C364, Merchants!$A$2:$D$41, 2, FALSE), "Merchant not found")</f>
        <v/>
      </c>
      <c r="J364">
        <f>IFERROR(VLOOKUP(C364, Merchants!$A$2:$D$41, 3, FALSE), "Merchant not found")</f>
        <v/>
      </c>
      <c r="K364">
        <f>IFERROR(VLOOKUP(C364, Merchants!$A$2:$D$41, 4, FALSE), "Merchant not found")</f>
        <v/>
      </c>
      <c r="L364">
        <f>HLOOKUP(F364, Fee_Tiers!$B$1:$E$2, 2, FALSE)</f>
        <v/>
      </c>
      <c r="M364">
        <f>IF(AND(E364&gt;5000, K364&lt;&gt;"&gt;East"), "High-Value Merchant Day", "Standard")</f>
        <v/>
      </c>
    </row>
    <row r="365">
      <c r="A365" t="inlineStr">
        <is>
          <t>TXN100363</t>
        </is>
      </c>
      <c r="B365" t="n">
        <v>297</v>
      </c>
      <c r="C365" t="n">
        <v>37</v>
      </c>
      <c r="D365" t="inlineStr">
        <is>
          <t>2026-01-16 08:41:00</t>
        </is>
      </c>
      <c r="E365" t="n">
        <v>2999</v>
      </c>
      <c r="F365" t="inlineStr">
        <is>
          <t>Wallet</t>
        </is>
      </c>
      <c r="G365" t="inlineStr">
        <is>
          <t>captured</t>
        </is>
      </c>
      <c r="H365" t="n">
        <v>29</v>
      </c>
      <c r="I365">
        <f>IFERROR(VLOOKUP(C365, Merchants!$A$2:$D$41, 2, FALSE), "Merchant not found")</f>
        <v/>
      </c>
      <c r="J365">
        <f>IFERROR(VLOOKUP(C365, Merchants!$A$2:$D$41, 3, FALSE), "Merchant not found")</f>
        <v/>
      </c>
      <c r="K365">
        <f>IFERROR(VLOOKUP(C365, Merchants!$A$2:$D$41, 4, FALSE), "Merchant not found")</f>
        <v/>
      </c>
      <c r="L365">
        <f>HLOOKUP(F365, Fee_Tiers!$B$1:$E$2, 2, FALSE)</f>
        <v/>
      </c>
      <c r="M365">
        <f>IF(AND(E365&gt;5000, K365&lt;&gt;"&gt;East"), "High-Value Merchant Day", "Standard")</f>
        <v/>
      </c>
    </row>
    <row r="366">
      <c r="A366" t="inlineStr">
        <is>
          <t>TXN100364</t>
        </is>
      </c>
      <c r="B366" t="n">
        <v>246</v>
      </c>
      <c r="C366" t="n">
        <v>11</v>
      </c>
      <c r="D366" t="inlineStr">
        <is>
          <t>2026-01-24 01:37:00</t>
        </is>
      </c>
      <c r="E366" t="n">
        <v>299</v>
      </c>
      <c r="F366" t="inlineStr">
        <is>
          <t>UPI</t>
        </is>
      </c>
      <c r="G366" t="inlineStr">
        <is>
          <t>captured</t>
        </is>
      </c>
      <c r="H366" t="n">
        <v>67</v>
      </c>
      <c r="I366">
        <f>IFERROR(VLOOKUP(C366, Merchants!$A$2:$D$41, 2, FALSE), "Merchant not found")</f>
        <v/>
      </c>
      <c r="J366">
        <f>IFERROR(VLOOKUP(C366, Merchants!$A$2:$D$41, 3, FALSE), "Merchant not found")</f>
        <v/>
      </c>
      <c r="K366">
        <f>IFERROR(VLOOKUP(C366, Merchants!$A$2:$D$41, 4, FALSE), "Merchant not found")</f>
        <v/>
      </c>
      <c r="L366">
        <f>HLOOKUP(F366, Fee_Tiers!$B$1:$E$2, 2, FALSE)</f>
        <v/>
      </c>
      <c r="M366">
        <f>IF(AND(E366&gt;5000, K366&lt;&gt;"&gt;East"), "High-Value Merchant Day", "Standard")</f>
        <v/>
      </c>
    </row>
    <row r="367">
      <c r="A367" t="inlineStr">
        <is>
          <t>TXN100365</t>
        </is>
      </c>
      <c r="B367" t="n">
        <v>195</v>
      </c>
      <c r="C367" t="n">
        <v>10</v>
      </c>
      <c r="D367" t="inlineStr">
        <is>
          <t>2026-01-21 23:39:00</t>
        </is>
      </c>
      <c r="E367" t="n">
        <v>99</v>
      </c>
      <c r="F367" t="inlineStr">
        <is>
          <t>UPI</t>
        </is>
      </c>
      <c r="G367" t="inlineStr">
        <is>
          <t>captured</t>
        </is>
      </c>
      <c r="H367" t="n">
        <v>87</v>
      </c>
      <c r="I367">
        <f>IFERROR(VLOOKUP(C367, Merchants!$A$2:$D$41, 2, FALSE), "Merchant not found")</f>
        <v/>
      </c>
      <c r="J367">
        <f>IFERROR(VLOOKUP(C367, Merchants!$A$2:$D$41, 3, FALSE), "Merchant not found")</f>
        <v/>
      </c>
      <c r="K367">
        <f>IFERROR(VLOOKUP(C367, Merchants!$A$2:$D$41, 4, FALSE), "Merchant not found")</f>
        <v/>
      </c>
      <c r="L367">
        <f>HLOOKUP(F367, Fee_Tiers!$B$1:$E$2, 2, FALSE)</f>
        <v/>
      </c>
      <c r="M367">
        <f>IF(AND(E367&gt;5000, K367&lt;&gt;"&gt;East"), "High-Value Merchant Day", "Standard")</f>
        <v/>
      </c>
    </row>
    <row r="368">
      <c r="A368" t="inlineStr">
        <is>
          <t>TXN100366</t>
        </is>
      </c>
      <c r="B368" t="n">
        <v>57</v>
      </c>
      <c r="C368" t="n">
        <v>13</v>
      </c>
      <c r="D368" t="inlineStr">
        <is>
          <t>2026-01-08 01:36:00</t>
        </is>
      </c>
      <c r="E368" t="n">
        <v>149</v>
      </c>
      <c r="F368" t="inlineStr">
        <is>
          <t>UPI</t>
        </is>
      </c>
      <c r="G368" t="inlineStr">
        <is>
          <t>captured</t>
        </is>
      </c>
      <c r="H368" t="n">
        <v>2</v>
      </c>
      <c r="I368">
        <f>IFERROR(VLOOKUP(C368, Merchants!$A$2:$D$41, 2, FALSE), "Merchant not found")</f>
        <v/>
      </c>
      <c r="J368">
        <f>IFERROR(VLOOKUP(C368, Merchants!$A$2:$D$41, 3, FALSE), "Merchant not found")</f>
        <v/>
      </c>
      <c r="K368">
        <f>IFERROR(VLOOKUP(C368, Merchants!$A$2:$D$41, 4, FALSE), "Merchant not found")</f>
        <v/>
      </c>
      <c r="L368">
        <f>HLOOKUP(F368, Fee_Tiers!$B$1:$E$2, 2, FALSE)</f>
        <v/>
      </c>
      <c r="M368">
        <f>IF(AND(E368&gt;5000, K368&lt;&gt;"&gt;East"), "High-Value Merchant Day", "Standard")</f>
        <v/>
      </c>
    </row>
    <row r="369">
      <c r="A369" t="inlineStr">
        <is>
          <t>TXN100367</t>
        </is>
      </c>
      <c r="B369" t="n">
        <v>78</v>
      </c>
      <c r="C369" t="n">
        <v>27</v>
      </c>
      <c r="D369" t="inlineStr">
        <is>
          <t>2026-01-15 10:26:00</t>
        </is>
      </c>
      <c r="E369" t="n">
        <v>1499</v>
      </c>
      <c r="F369" t="inlineStr">
        <is>
          <t>Netbanking</t>
        </is>
      </c>
      <c r="G369" t="inlineStr">
        <is>
          <t>failed</t>
        </is>
      </c>
      <c r="H369" t="n">
        <v>88</v>
      </c>
      <c r="I369">
        <f>IFERROR(VLOOKUP(C369, Merchants!$A$2:$D$41, 2, FALSE), "Merchant not found")</f>
        <v/>
      </c>
      <c r="J369">
        <f>IFERROR(VLOOKUP(C369, Merchants!$A$2:$D$41, 3, FALSE), "Merchant not found")</f>
        <v/>
      </c>
      <c r="K369">
        <f>IFERROR(VLOOKUP(C369, Merchants!$A$2:$D$41, 4, FALSE), "Merchant not found")</f>
        <v/>
      </c>
      <c r="L369">
        <f>HLOOKUP(F369, Fee_Tiers!$B$1:$E$2, 2, FALSE)</f>
        <v/>
      </c>
      <c r="M369">
        <f>IF(AND(E369&gt;5000, K369&lt;&gt;"&gt;East"), "High-Value Merchant Day", "Standard")</f>
        <v/>
      </c>
    </row>
    <row r="370">
      <c r="A370" t="inlineStr">
        <is>
          <t>TXN100368</t>
        </is>
      </c>
      <c r="B370" t="n">
        <v>314</v>
      </c>
      <c r="C370" t="n">
        <v>31</v>
      </c>
      <c r="D370" t="inlineStr">
        <is>
          <t>2026-01-07 13:32:00</t>
        </is>
      </c>
      <c r="E370" t="n">
        <v>49</v>
      </c>
      <c r="F370" t="inlineStr">
        <is>
          <t>UPI</t>
        </is>
      </c>
      <c r="G370" t="inlineStr">
        <is>
          <t>chargeback</t>
        </is>
      </c>
      <c r="H370" t="n">
        <v>94</v>
      </c>
      <c r="I370">
        <f>IFERROR(VLOOKUP(C370, Merchants!$A$2:$D$41, 2, FALSE), "Merchant not found")</f>
        <v/>
      </c>
      <c r="J370">
        <f>IFERROR(VLOOKUP(C370, Merchants!$A$2:$D$41, 3, FALSE), "Merchant not found")</f>
        <v/>
      </c>
      <c r="K370">
        <f>IFERROR(VLOOKUP(C370, Merchants!$A$2:$D$41, 4, FALSE), "Merchant not found")</f>
        <v/>
      </c>
      <c r="L370">
        <f>HLOOKUP(F370, Fee_Tiers!$B$1:$E$2, 2, FALSE)</f>
        <v/>
      </c>
      <c r="M370">
        <f>IF(AND(E370&gt;5000, K370&lt;&gt;"&gt;East"), "High-Value Merchant Day", "Standard")</f>
        <v/>
      </c>
    </row>
    <row r="371">
      <c r="A371" t="inlineStr">
        <is>
          <t>TXN100369</t>
        </is>
      </c>
      <c r="B371" t="n">
        <v>71</v>
      </c>
      <c r="C371" t="n">
        <v>34</v>
      </c>
      <c r="D371" t="inlineStr">
        <is>
          <t>2026-01-24 01:45:00</t>
        </is>
      </c>
      <c r="E371" t="n">
        <v>499</v>
      </c>
      <c r="F371" t="inlineStr">
        <is>
          <t>UPI</t>
        </is>
      </c>
      <c r="G371" t="inlineStr">
        <is>
          <t>captured</t>
        </is>
      </c>
      <c r="H371" t="n">
        <v>26</v>
      </c>
      <c r="I371">
        <f>IFERROR(VLOOKUP(C371, Merchants!$A$2:$D$41, 2, FALSE), "Merchant not found")</f>
        <v/>
      </c>
      <c r="J371">
        <f>IFERROR(VLOOKUP(C371, Merchants!$A$2:$D$41, 3, FALSE), "Merchant not found")</f>
        <v/>
      </c>
      <c r="K371">
        <f>IFERROR(VLOOKUP(C371, Merchants!$A$2:$D$41, 4, FALSE), "Merchant not found")</f>
        <v/>
      </c>
      <c r="L371">
        <f>HLOOKUP(F371, Fee_Tiers!$B$1:$E$2, 2, FALSE)</f>
        <v/>
      </c>
      <c r="M371">
        <f>IF(AND(E371&gt;5000, K371&lt;&gt;"&gt;East"), "High-Value Merchant Day", "Standard")</f>
        <v/>
      </c>
    </row>
    <row r="372">
      <c r="A372" t="inlineStr">
        <is>
          <t>TXN100370</t>
        </is>
      </c>
      <c r="B372" t="n">
        <v>245</v>
      </c>
      <c r="C372" t="n">
        <v>34</v>
      </c>
      <c r="D372" t="inlineStr">
        <is>
          <t>2026-01-18 10:42:00</t>
        </is>
      </c>
      <c r="E372" t="n">
        <v>99</v>
      </c>
      <c r="F372" t="inlineStr">
        <is>
          <t>UPI</t>
        </is>
      </c>
      <c r="G372" t="inlineStr">
        <is>
          <t>captured</t>
        </is>
      </c>
      <c r="H372" t="n">
        <v>48</v>
      </c>
      <c r="I372">
        <f>IFERROR(VLOOKUP(C372, Merchants!$A$2:$D$41, 2, FALSE), "Merchant not found")</f>
        <v/>
      </c>
      <c r="J372">
        <f>IFERROR(VLOOKUP(C372, Merchants!$A$2:$D$41, 3, FALSE), "Merchant not found")</f>
        <v/>
      </c>
      <c r="K372">
        <f>IFERROR(VLOOKUP(C372, Merchants!$A$2:$D$41, 4, FALSE), "Merchant not found")</f>
        <v/>
      </c>
      <c r="L372">
        <f>HLOOKUP(F372, Fee_Tiers!$B$1:$E$2, 2, FALSE)</f>
        <v/>
      </c>
      <c r="M372">
        <f>IF(AND(E372&gt;5000, K372&lt;&gt;"&gt;East"), "High-Value Merchant Day", "Standard")</f>
        <v/>
      </c>
    </row>
    <row r="373">
      <c r="A373" t="inlineStr">
        <is>
          <t>TXN100371</t>
        </is>
      </c>
      <c r="B373" t="n">
        <v>273</v>
      </c>
      <c r="C373" t="n">
        <v>22</v>
      </c>
      <c r="D373" t="inlineStr">
        <is>
          <t>2026-01-11 05:29:00</t>
        </is>
      </c>
      <c r="E373" t="n">
        <v>299</v>
      </c>
      <c r="F373" t="inlineStr">
        <is>
          <t>Wallet</t>
        </is>
      </c>
      <c r="G373" t="inlineStr">
        <is>
          <t>captured</t>
        </is>
      </c>
      <c r="H373" t="n">
        <v>69</v>
      </c>
      <c r="I373">
        <f>IFERROR(VLOOKUP(C373, Merchants!$A$2:$D$41, 2, FALSE), "Merchant not found")</f>
        <v/>
      </c>
      <c r="J373">
        <f>IFERROR(VLOOKUP(C373, Merchants!$A$2:$D$41, 3, FALSE), "Merchant not found")</f>
        <v/>
      </c>
      <c r="K373">
        <f>IFERROR(VLOOKUP(C373, Merchants!$A$2:$D$41, 4, FALSE), "Merchant not found")</f>
        <v/>
      </c>
      <c r="L373">
        <f>HLOOKUP(F373, Fee_Tiers!$B$1:$E$2, 2, FALSE)</f>
        <v/>
      </c>
      <c r="M373">
        <f>IF(AND(E373&gt;5000, K373&lt;&gt;"&gt;East"), "High-Value Merchant Day", "Standard")</f>
        <v/>
      </c>
    </row>
    <row r="374">
      <c r="A374" t="inlineStr">
        <is>
          <t>TXN100372</t>
        </is>
      </c>
      <c r="B374" t="n">
        <v>349</v>
      </c>
      <c r="C374" t="n">
        <v>17</v>
      </c>
      <c r="D374" t="inlineStr">
        <is>
          <t>2026-01-12 21:49:00</t>
        </is>
      </c>
      <c r="E374" t="n">
        <v>1499</v>
      </c>
      <c r="F374" t="inlineStr">
        <is>
          <t>UPI</t>
        </is>
      </c>
      <c r="G374" t="inlineStr">
        <is>
          <t>captured</t>
        </is>
      </c>
      <c r="H374" t="n">
        <v>78</v>
      </c>
      <c r="I374">
        <f>IFERROR(VLOOKUP(C374, Merchants!$A$2:$D$41, 2, FALSE), "Merchant not found")</f>
        <v/>
      </c>
      <c r="J374">
        <f>IFERROR(VLOOKUP(C374, Merchants!$A$2:$D$41, 3, FALSE), "Merchant not found")</f>
        <v/>
      </c>
      <c r="K374">
        <f>IFERROR(VLOOKUP(C374, Merchants!$A$2:$D$41, 4, FALSE), "Merchant not found")</f>
        <v/>
      </c>
      <c r="L374">
        <f>HLOOKUP(F374, Fee_Tiers!$B$1:$E$2, 2, FALSE)</f>
        <v/>
      </c>
      <c r="M374">
        <f>IF(AND(E374&gt;5000, K374&lt;&gt;"&gt;East"), "High-Value Merchant Day", "Standard")</f>
        <v/>
      </c>
    </row>
    <row r="375">
      <c r="A375" t="inlineStr">
        <is>
          <t>TXN100373</t>
        </is>
      </c>
      <c r="B375" t="n">
        <v>143</v>
      </c>
      <c r="C375" t="n">
        <v>36</v>
      </c>
      <c r="D375" t="inlineStr">
        <is>
          <t>2026-01-16 06:15:00</t>
        </is>
      </c>
      <c r="E375" t="n">
        <v>1499</v>
      </c>
      <c r="F375" t="inlineStr">
        <is>
          <t>Netbanking</t>
        </is>
      </c>
      <c r="G375" t="inlineStr">
        <is>
          <t>captured</t>
        </is>
      </c>
      <c r="H375" t="n">
        <v>38</v>
      </c>
      <c r="I375">
        <f>IFERROR(VLOOKUP(C375, Merchants!$A$2:$D$41, 2, FALSE), "Merchant not found")</f>
        <v/>
      </c>
      <c r="J375">
        <f>IFERROR(VLOOKUP(C375, Merchants!$A$2:$D$41, 3, FALSE), "Merchant not found")</f>
        <v/>
      </c>
      <c r="K375">
        <f>IFERROR(VLOOKUP(C375, Merchants!$A$2:$D$41, 4, FALSE), "Merchant not found")</f>
        <v/>
      </c>
      <c r="L375">
        <f>HLOOKUP(F375, Fee_Tiers!$B$1:$E$2, 2, FALSE)</f>
        <v/>
      </c>
      <c r="M375">
        <f>IF(AND(E375&gt;5000, K375&lt;&gt;"&gt;East"), "High-Value Merchant Day", "Standard")</f>
        <v/>
      </c>
    </row>
    <row r="376">
      <c r="A376" t="inlineStr">
        <is>
          <t>TXN100374</t>
        </is>
      </c>
      <c r="B376" t="n">
        <v>148</v>
      </c>
      <c r="C376" t="n">
        <v>14</v>
      </c>
      <c r="D376" t="inlineStr">
        <is>
          <t>2026-01-08 09:49:00</t>
        </is>
      </c>
      <c r="E376" t="n">
        <v>799</v>
      </c>
      <c r="F376" t="inlineStr">
        <is>
          <t>Wallet</t>
        </is>
      </c>
      <c r="G376" t="inlineStr">
        <is>
          <t>captured</t>
        </is>
      </c>
      <c r="H376" t="n">
        <v>88</v>
      </c>
      <c r="I376">
        <f>IFERROR(VLOOKUP(C376, Merchants!$A$2:$D$41, 2, FALSE), "Merchant not found")</f>
        <v/>
      </c>
      <c r="J376">
        <f>IFERROR(VLOOKUP(C376, Merchants!$A$2:$D$41, 3, FALSE), "Merchant not found")</f>
        <v/>
      </c>
      <c r="K376">
        <f>IFERROR(VLOOKUP(C376, Merchants!$A$2:$D$41, 4, FALSE), "Merchant not found")</f>
        <v/>
      </c>
      <c r="L376">
        <f>HLOOKUP(F376, Fee_Tiers!$B$1:$E$2, 2, FALSE)</f>
        <v/>
      </c>
      <c r="M376">
        <f>IF(AND(E376&gt;5000, K376&lt;&gt;"&gt;East"), "High-Value Merchant Day", "Standard")</f>
        <v/>
      </c>
    </row>
    <row r="377">
      <c r="A377" t="inlineStr">
        <is>
          <t>TXN100375</t>
        </is>
      </c>
      <c r="B377" t="n">
        <v>246</v>
      </c>
      <c r="C377" t="n">
        <v>23</v>
      </c>
      <c r="D377" t="inlineStr">
        <is>
          <t>2026-01-23 15:20:00</t>
        </is>
      </c>
      <c r="E377" t="n">
        <v>49</v>
      </c>
      <c r="F377" t="inlineStr">
        <is>
          <t>UPI</t>
        </is>
      </c>
      <c r="G377" t="inlineStr">
        <is>
          <t>captured</t>
        </is>
      </c>
      <c r="H377" t="n">
        <v>71</v>
      </c>
      <c r="I377">
        <f>IFERROR(VLOOKUP(C377, Merchants!$A$2:$D$41, 2, FALSE), "Merchant not found")</f>
        <v/>
      </c>
      <c r="J377">
        <f>IFERROR(VLOOKUP(C377, Merchants!$A$2:$D$41, 3, FALSE), "Merchant not found")</f>
        <v/>
      </c>
      <c r="K377">
        <f>IFERROR(VLOOKUP(C377, Merchants!$A$2:$D$41, 4, FALSE), "Merchant not found")</f>
        <v/>
      </c>
      <c r="L377">
        <f>HLOOKUP(F377, Fee_Tiers!$B$1:$E$2, 2, FALSE)</f>
        <v/>
      </c>
      <c r="M377">
        <f>IF(AND(E377&gt;5000, K377&lt;&gt;"&gt;East"), "High-Value Merchant Day", "Standard")</f>
        <v/>
      </c>
    </row>
    <row r="378">
      <c r="A378" t="inlineStr">
        <is>
          <t>TXN100376</t>
        </is>
      </c>
      <c r="B378" t="n">
        <v>148</v>
      </c>
      <c r="C378" t="n">
        <v>8</v>
      </c>
      <c r="D378" t="inlineStr">
        <is>
          <t>2026-01-30 23:17:00</t>
        </is>
      </c>
      <c r="E378" t="n">
        <v>99</v>
      </c>
      <c r="F378" t="inlineStr">
        <is>
          <t>Wallet</t>
        </is>
      </c>
      <c r="G378" t="inlineStr">
        <is>
          <t>captured</t>
        </is>
      </c>
      <c r="H378" t="n">
        <v>73</v>
      </c>
      <c r="I378">
        <f>IFERROR(VLOOKUP(C378, Merchants!$A$2:$D$41, 2, FALSE), "Merchant not found")</f>
        <v/>
      </c>
      <c r="J378">
        <f>IFERROR(VLOOKUP(C378, Merchants!$A$2:$D$41, 3, FALSE), "Merchant not found")</f>
        <v/>
      </c>
      <c r="K378">
        <f>IFERROR(VLOOKUP(C378, Merchants!$A$2:$D$41, 4, FALSE), "Merchant not found")</f>
        <v/>
      </c>
      <c r="L378">
        <f>HLOOKUP(F378, Fee_Tiers!$B$1:$E$2, 2, FALSE)</f>
        <v/>
      </c>
      <c r="M378">
        <f>IF(AND(E378&gt;5000, K378&lt;&gt;"&gt;East"), "High-Value Merchant Day", "Standard")</f>
        <v/>
      </c>
    </row>
    <row r="379">
      <c r="A379" t="inlineStr">
        <is>
          <t>TXN100377</t>
        </is>
      </c>
      <c r="B379" t="n">
        <v>203</v>
      </c>
      <c r="C379" t="n">
        <v>23</v>
      </c>
      <c r="D379" t="inlineStr">
        <is>
          <t>2026-01-22 17:24:00</t>
        </is>
      </c>
      <c r="E379" t="n">
        <v>49</v>
      </c>
      <c r="F379" t="inlineStr">
        <is>
          <t>UPI</t>
        </is>
      </c>
      <c r="G379" t="inlineStr">
        <is>
          <t>captured</t>
        </is>
      </c>
      <c r="H379" t="n">
        <v>98</v>
      </c>
      <c r="I379">
        <f>IFERROR(VLOOKUP(C379, Merchants!$A$2:$D$41, 2, FALSE), "Merchant not found")</f>
        <v/>
      </c>
      <c r="J379">
        <f>IFERROR(VLOOKUP(C379, Merchants!$A$2:$D$41, 3, FALSE), "Merchant not found")</f>
        <v/>
      </c>
      <c r="K379">
        <f>IFERROR(VLOOKUP(C379, Merchants!$A$2:$D$41, 4, FALSE), "Merchant not found")</f>
        <v/>
      </c>
      <c r="L379">
        <f>HLOOKUP(F379, Fee_Tiers!$B$1:$E$2, 2, FALSE)</f>
        <v/>
      </c>
      <c r="M379">
        <f>IF(AND(E379&gt;5000, K379&lt;&gt;"&gt;East"), "High-Value Merchant Day", "Standard")</f>
        <v/>
      </c>
    </row>
    <row r="380">
      <c r="A380" t="inlineStr">
        <is>
          <t>TXN100378</t>
        </is>
      </c>
      <c r="B380" t="n">
        <v>22</v>
      </c>
      <c r="C380" t="n">
        <v>19</v>
      </c>
      <c r="D380" t="inlineStr">
        <is>
          <t>2026-01-26 04:18:00</t>
        </is>
      </c>
      <c r="E380" t="n">
        <v>49</v>
      </c>
      <c r="F380" t="inlineStr">
        <is>
          <t>Card</t>
        </is>
      </c>
      <c r="G380" t="inlineStr">
        <is>
          <t>captured</t>
        </is>
      </c>
      <c r="H380" t="n">
        <v>91</v>
      </c>
      <c r="I380">
        <f>IFERROR(VLOOKUP(C380, Merchants!$A$2:$D$41, 2, FALSE), "Merchant not found")</f>
        <v/>
      </c>
      <c r="J380">
        <f>IFERROR(VLOOKUP(C380, Merchants!$A$2:$D$41, 3, FALSE), "Merchant not found")</f>
        <v/>
      </c>
      <c r="K380">
        <f>IFERROR(VLOOKUP(C380, Merchants!$A$2:$D$41, 4, FALSE), "Merchant not found")</f>
        <v/>
      </c>
      <c r="L380">
        <f>HLOOKUP(F380, Fee_Tiers!$B$1:$E$2, 2, FALSE)</f>
        <v/>
      </c>
      <c r="M380">
        <f>IF(AND(E380&gt;5000, K380&lt;&gt;"&gt;East"), "High-Value Merchant Day", "Standard")</f>
        <v/>
      </c>
    </row>
    <row r="381">
      <c r="A381" t="inlineStr">
        <is>
          <t>TXN100379</t>
        </is>
      </c>
      <c r="B381" t="n">
        <v>227</v>
      </c>
      <c r="C381" t="n">
        <v>17</v>
      </c>
      <c r="D381" t="inlineStr">
        <is>
          <t>2026-01-03 11:59:00</t>
        </is>
      </c>
      <c r="E381" t="n">
        <v>299</v>
      </c>
      <c r="F381" t="inlineStr">
        <is>
          <t>Wallet</t>
        </is>
      </c>
      <c r="G381" t="inlineStr">
        <is>
          <t>captured</t>
        </is>
      </c>
      <c r="H381" t="n">
        <v>95</v>
      </c>
      <c r="I381">
        <f>IFERROR(VLOOKUP(C381, Merchants!$A$2:$D$41, 2, FALSE), "Merchant not found")</f>
        <v/>
      </c>
      <c r="J381">
        <f>IFERROR(VLOOKUP(C381, Merchants!$A$2:$D$41, 3, FALSE), "Merchant not found")</f>
        <v/>
      </c>
      <c r="K381">
        <f>IFERROR(VLOOKUP(C381, Merchants!$A$2:$D$41, 4, FALSE), "Merchant not found")</f>
        <v/>
      </c>
      <c r="L381">
        <f>HLOOKUP(F381, Fee_Tiers!$B$1:$E$2, 2, FALSE)</f>
        <v/>
      </c>
      <c r="M381">
        <f>IF(AND(E381&gt;5000, K381&lt;&gt;"&gt;East"), "High-Value Merchant Day", "Standard")</f>
        <v/>
      </c>
    </row>
    <row r="382">
      <c r="A382" t="inlineStr">
        <is>
          <t>TXN100380</t>
        </is>
      </c>
      <c r="B382" t="n">
        <v>276</v>
      </c>
      <c r="C382" t="n">
        <v>18</v>
      </c>
      <c r="D382" t="inlineStr">
        <is>
          <t>2026-01-16 06:12:00</t>
        </is>
      </c>
      <c r="E382" t="n">
        <v>149</v>
      </c>
      <c r="F382" t="inlineStr">
        <is>
          <t>Wallet</t>
        </is>
      </c>
      <c r="G382" t="inlineStr">
        <is>
          <t>captured</t>
        </is>
      </c>
      <c r="H382" t="n">
        <v>71</v>
      </c>
      <c r="I382">
        <f>IFERROR(VLOOKUP(C382, Merchants!$A$2:$D$41, 2, FALSE), "Merchant not found")</f>
        <v/>
      </c>
      <c r="J382">
        <f>IFERROR(VLOOKUP(C382, Merchants!$A$2:$D$41, 3, FALSE), "Merchant not found")</f>
        <v/>
      </c>
      <c r="K382">
        <f>IFERROR(VLOOKUP(C382, Merchants!$A$2:$D$41, 4, FALSE), "Merchant not found")</f>
        <v/>
      </c>
      <c r="L382">
        <f>HLOOKUP(F382, Fee_Tiers!$B$1:$E$2, 2, FALSE)</f>
        <v/>
      </c>
      <c r="M382">
        <f>IF(AND(E382&gt;5000, K382&lt;&gt;"&gt;East"), "High-Value Merchant Day", "Standard")</f>
        <v/>
      </c>
    </row>
    <row r="383">
      <c r="A383" t="inlineStr">
        <is>
          <t>TXN100381</t>
        </is>
      </c>
      <c r="B383" t="n">
        <v>56</v>
      </c>
      <c r="C383" t="n">
        <v>40</v>
      </c>
      <c r="D383" t="inlineStr">
        <is>
          <t>2026-01-23 08:08:00</t>
        </is>
      </c>
      <c r="E383" t="n">
        <v>99</v>
      </c>
      <c r="F383" t="inlineStr">
        <is>
          <t>Card</t>
        </is>
      </c>
      <c r="G383" t="inlineStr">
        <is>
          <t>captured</t>
        </is>
      </c>
      <c r="H383" t="n">
        <v>94</v>
      </c>
      <c r="I383">
        <f>IFERROR(VLOOKUP(C383, Merchants!$A$2:$D$41, 2, FALSE), "Merchant not found")</f>
        <v/>
      </c>
      <c r="J383">
        <f>IFERROR(VLOOKUP(C383, Merchants!$A$2:$D$41, 3, FALSE), "Merchant not found")</f>
        <v/>
      </c>
      <c r="K383">
        <f>IFERROR(VLOOKUP(C383, Merchants!$A$2:$D$41, 4, FALSE), "Merchant not found")</f>
        <v/>
      </c>
      <c r="L383">
        <f>HLOOKUP(F383, Fee_Tiers!$B$1:$E$2, 2, FALSE)</f>
        <v/>
      </c>
      <c r="M383">
        <f>IF(AND(E383&gt;5000, K383&lt;&gt;"&gt;East"), "High-Value Merchant Day", "Standard")</f>
        <v/>
      </c>
    </row>
    <row r="384">
      <c r="A384" t="inlineStr">
        <is>
          <t>TXN100382</t>
        </is>
      </c>
      <c r="B384" t="n">
        <v>26</v>
      </c>
      <c r="C384" t="n">
        <v>34</v>
      </c>
      <c r="D384" t="inlineStr">
        <is>
          <t>2026-01-19 07:15:00</t>
        </is>
      </c>
      <c r="E384" t="n">
        <v>499</v>
      </c>
      <c r="F384" t="inlineStr">
        <is>
          <t>Card</t>
        </is>
      </c>
      <c r="G384" t="inlineStr">
        <is>
          <t>captured</t>
        </is>
      </c>
      <c r="H384" t="n">
        <v>28</v>
      </c>
      <c r="I384">
        <f>IFERROR(VLOOKUP(C384, Merchants!$A$2:$D$41, 2, FALSE), "Merchant not found")</f>
        <v/>
      </c>
      <c r="J384">
        <f>IFERROR(VLOOKUP(C384, Merchants!$A$2:$D$41, 3, FALSE), "Merchant not found")</f>
        <v/>
      </c>
      <c r="K384">
        <f>IFERROR(VLOOKUP(C384, Merchants!$A$2:$D$41, 4, FALSE), "Merchant not found")</f>
        <v/>
      </c>
      <c r="L384">
        <f>HLOOKUP(F384, Fee_Tiers!$B$1:$E$2, 2, FALSE)</f>
        <v/>
      </c>
      <c r="M384">
        <f>IF(AND(E384&gt;5000, K384&lt;&gt;"&gt;East"), "High-Value Merchant Day", "Standard")</f>
        <v/>
      </c>
    </row>
    <row r="385">
      <c r="A385" t="inlineStr">
        <is>
          <t>TXN100383</t>
        </is>
      </c>
      <c r="B385" t="n">
        <v>52</v>
      </c>
      <c r="C385" t="n">
        <v>27</v>
      </c>
      <c r="D385" t="inlineStr">
        <is>
          <t>2026-01-21 07:03:00</t>
        </is>
      </c>
      <c r="E385" t="n">
        <v>499</v>
      </c>
      <c r="F385" t="inlineStr">
        <is>
          <t>Card</t>
        </is>
      </c>
      <c r="G385" t="inlineStr">
        <is>
          <t>captured</t>
        </is>
      </c>
      <c r="H385" t="n">
        <v>42</v>
      </c>
      <c r="I385">
        <f>IFERROR(VLOOKUP(C385, Merchants!$A$2:$D$41, 2, FALSE), "Merchant not found")</f>
        <v/>
      </c>
      <c r="J385">
        <f>IFERROR(VLOOKUP(C385, Merchants!$A$2:$D$41, 3, FALSE), "Merchant not found")</f>
        <v/>
      </c>
      <c r="K385">
        <f>IFERROR(VLOOKUP(C385, Merchants!$A$2:$D$41, 4, FALSE), "Merchant not found")</f>
        <v/>
      </c>
      <c r="L385">
        <f>HLOOKUP(F385, Fee_Tiers!$B$1:$E$2, 2, FALSE)</f>
        <v/>
      </c>
      <c r="M385">
        <f>IF(AND(E385&gt;5000, K385&lt;&gt;"&gt;East"), "High-Value Merchant Day", "Standard")</f>
        <v/>
      </c>
    </row>
    <row r="386">
      <c r="A386" t="inlineStr">
        <is>
          <t>TXN100384</t>
        </is>
      </c>
      <c r="B386" t="n">
        <v>349</v>
      </c>
      <c r="C386" t="n">
        <v>9</v>
      </c>
      <c r="D386" t="inlineStr">
        <is>
          <t>2026-01-23 15:06:00</t>
        </is>
      </c>
      <c r="E386" t="n">
        <v>499</v>
      </c>
      <c r="F386" t="inlineStr">
        <is>
          <t>Wallet</t>
        </is>
      </c>
      <c r="G386" t="inlineStr">
        <is>
          <t>captured</t>
        </is>
      </c>
      <c r="H386" t="n">
        <v>0</v>
      </c>
      <c r="I386">
        <f>IFERROR(VLOOKUP(C386, Merchants!$A$2:$D$41, 2, FALSE), "Merchant not found")</f>
        <v/>
      </c>
      <c r="J386">
        <f>IFERROR(VLOOKUP(C386, Merchants!$A$2:$D$41, 3, FALSE), "Merchant not found")</f>
        <v/>
      </c>
      <c r="K386">
        <f>IFERROR(VLOOKUP(C386, Merchants!$A$2:$D$41, 4, FALSE), "Merchant not found")</f>
        <v/>
      </c>
      <c r="L386">
        <f>HLOOKUP(F386, Fee_Tiers!$B$1:$E$2, 2, FALSE)</f>
        <v/>
      </c>
      <c r="M386">
        <f>IF(AND(E386&gt;5000, K386&lt;&gt;"&gt;East"), "High-Value Merchant Day", "Standard")</f>
        <v/>
      </c>
    </row>
    <row r="387">
      <c r="A387" t="inlineStr">
        <is>
          <t>TXN100385</t>
        </is>
      </c>
      <c r="B387" t="n">
        <v>335</v>
      </c>
      <c r="C387" t="n">
        <v>31</v>
      </c>
      <c r="D387" t="inlineStr">
        <is>
          <t>2026-01-18 05:26:00</t>
        </is>
      </c>
      <c r="E387" t="n">
        <v>49</v>
      </c>
      <c r="F387" t="inlineStr">
        <is>
          <t>Card</t>
        </is>
      </c>
      <c r="G387" t="inlineStr">
        <is>
          <t>captured</t>
        </is>
      </c>
      <c r="H387" t="n">
        <v>61</v>
      </c>
      <c r="I387">
        <f>IFERROR(VLOOKUP(C387, Merchants!$A$2:$D$41, 2, FALSE), "Merchant not found")</f>
        <v/>
      </c>
      <c r="J387">
        <f>IFERROR(VLOOKUP(C387, Merchants!$A$2:$D$41, 3, FALSE), "Merchant not found")</f>
        <v/>
      </c>
      <c r="K387">
        <f>IFERROR(VLOOKUP(C387, Merchants!$A$2:$D$41, 4, FALSE), "Merchant not found")</f>
        <v/>
      </c>
      <c r="L387">
        <f>HLOOKUP(F387, Fee_Tiers!$B$1:$E$2, 2, FALSE)</f>
        <v/>
      </c>
      <c r="M387">
        <f>IF(AND(E387&gt;5000, K387&lt;&gt;"&gt;East"), "High-Value Merchant Day", "Standard")</f>
        <v/>
      </c>
    </row>
    <row r="388">
      <c r="A388" t="inlineStr">
        <is>
          <t>TXN100386</t>
        </is>
      </c>
      <c r="B388" t="n">
        <v>148</v>
      </c>
      <c r="C388" t="n">
        <v>21</v>
      </c>
      <c r="D388" t="inlineStr">
        <is>
          <t>2026-01-21 06:48:00</t>
        </is>
      </c>
      <c r="E388" t="n">
        <v>49</v>
      </c>
      <c r="F388" t="inlineStr">
        <is>
          <t>Card</t>
        </is>
      </c>
      <c r="G388" t="inlineStr">
        <is>
          <t>captured</t>
        </is>
      </c>
      <c r="H388" t="n">
        <v>36</v>
      </c>
      <c r="I388">
        <f>IFERROR(VLOOKUP(C388, Merchants!$A$2:$D$41, 2, FALSE), "Merchant not found")</f>
        <v/>
      </c>
      <c r="J388">
        <f>IFERROR(VLOOKUP(C388, Merchants!$A$2:$D$41, 3, FALSE), "Merchant not found")</f>
        <v/>
      </c>
      <c r="K388">
        <f>IFERROR(VLOOKUP(C388, Merchants!$A$2:$D$41, 4, FALSE), "Merchant not found")</f>
        <v/>
      </c>
      <c r="L388">
        <f>HLOOKUP(F388, Fee_Tiers!$B$1:$E$2, 2, FALSE)</f>
        <v/>
      </c>
      <c r="M388">
        <f>IF(AND(E388&gt;5000, K388&lt;&gt;"&gt;East"), "High-Value Merchant Day", "Standard")</f>
        <v/>
      </c>
    </row>
    <row r="389">
      <c r="A389" t="inlineStr">
        <is>
          <t>TXN100387</t>
        </is>
      </c>
      <c r="B389" t="n">
        <v>46</v>
      </c>
      <c r="C389" t="n">
        <v>37</v>
      </c>
      <c r="D389" t="inlineStr">
        <is>
          <t>2026-01-21 01:58:00</t>
        </is>
      </c>
      <c r="E389" t="n">
        <v>99</v>
      </c>
      <c r="F389" t="inlineStr">
        <is>
          <t>Wallet</t>
        </is>
      </c>
      <c r="G389" t="inlineStr">
        <is>
          <t>captured</t>
        </is>
      </c>
      <c r="H389" t="n">
        <v>29</v>
      </c>
      <c r="I389">
        <f>IFERROR(VLOOKUP(C389, Merchants!$A$2:$D$41, 2, FALSE), "Merchant not found")</f>
        <v/>
      </c>
      <c r="J389">
        <f>IFERROR(VLOOKUP(C389, Merchants!$A$2:$D$41, 3, FALSE), "Merchant not found")</f>
        <v/>
      </c>
      <c r="K389">
        <f>IFERROR(VLOOKUP(C389, Merchants!$A$2:$D$41, 4, FALSE), "Merchant not found")</f>
        <v/>
      </c>
      <c r="L389">
        <f>HLOOKUP(F389, Fee_Tiers!$B$1:$E$2, 2, FALSE)</f>
        <v/>
      </c>
      <c r="M389">
        <f>IF(AND(E389&gt;5000, K389&lt;&gt;"&gt;East"), "High-Value Merchant Day", "Standard")</f>
        <v/>
      </c>
    </row>
    <row r="390">
      <c r="A390" t="inlineStr">
        <is>
          <t>TXN100388</t>
        </is>
      </c>
      <c r="B390" t="n">
        <v>20</v>
      </c>
      <c r="C390" t="n">
        <v>12</v>
      </c>
      <c r="D390" t="inlineStr">
        <is>
          <t>2026-01-18 23:46:00</t>
        </is>
      </c>
      <c r="E390" t="n">
        <v>799</v>
      </c>
      <c r="F390" t="inlineStr">
        <is>
          <t>Card</t>
        </is>
      </c>
      <c r="G390" t="inlineStr">
        <is>
          <t>captured</t>
        </is>
      </c>
      <c r="H390" t="n">
        <v>53</v>
      </c>
      <c r="I390">
        <f>IFERROR(VLOOKUP(C390, Merchants!$A$2:$D$41, 2, FALSE), "Merchant not found")</f>
        <v/>
      </c>
      <c r="J390">
        <f>IFERROR(VLOOKUP(C390, Merchants!$A$2:$D$41, 3, FALSE), "Merchant not found")</f>
        <v/>
      </c>
      <c r="K390">
        <f>IFERROR(VLOOKUP(C390, Merchants!$A$2:$D$41, 4, FALSE), "Merchant not found")</f>
        <v/>
      </c>
      <c r="L390">
        <f>HLOOKUP(F390, Fee_Tiers!$B$1:$E$2, 2, FALSE)</f>
        <v/>
      </c>
      <c r="M390">
        <f>IF(AND(E390&gt;5000, K390&lt;&gt;"&gt;East"), "High-Value Merchant Day", "Standard")</f>
        <v/>
      </c>
    </row>
    <row r="391">
      <c r="A391" t="inlineStr">
        <is>
          <t>TXN100389</t>
        </is>
      </c>
      <c r="B391" t="n">
        <v>19</v>
      </c>
      <c r="C391" t="n">
        <v>26</v>
      </c>
      <c r="D391" t="inlineStr">
        <is>
          <t>2026-01-29 05:59:00</t>
        </is>
      </c>
      <c r="E391" t="n">
        <v>49</v>
      </c>
      <c r="F391" t="inlineStr">
        <is>
          <t>UPI</t>
        </is>
      </c>
      <c r="G391" t="inlineStr">
        <is>
          <t>captured</t>
        </is>
      </c>
      <c r="H391" t="n">
        <v>100</v>
      </c>
      <c r="I391">
        <f>IFERROR(VLOOKUP(C391, Merchants!$A$2:$D$41, 2, FALSE), "Merchant not found")</f>
        <v/>
      </c>
      <c r="J391">
        <f>IFERROR(VLOOKUP(C391, Merchants!$A$2:$D$41, 3, FALSE), "Merchant not found")</f>
        <v/>
      </c>
      <c r="K391">
        <f>IFERROR(VLOOKUP(C391, Merchants!$A$2:$D$41, 4, FALSE), "Merchant not found")</f>
        <v/>
      </c>
      <c r="L391">
        <f>HLOOKUP(F391, Fee_Tiers!$B$1:$E$2, 2, FALSE)</f>
        <v/>
      </c>
      <c r="M391">
        <f>IF(AND(E391&gt;5000, K391&lt;&gt;"&gt;East"), "High-Value Merchant Day", "Standard")</f>
        <v/>
      </c>
    </row>
    <row r="392">
      <c r="A392" t="inlineStr">
        <is>
          <t>TXN100390</t>
        </is>
      </c>
      <c r="B392" t="n">
        <v>149</v>
      </c>
      <c r="C392" t="n">
        <v>3</v>
      </c>
      <c r="D392" t="inlineStr">
        <is>
          <t>2026-01-16 05:59:00</t>
        </is>
      </c>
      <c r="E392" t="n">
        <v>4999</v>
      </c>
      <c r="F392" t="inlineStr">
        <is>
          <t>Wallet</t>
        </is>
      </c>
      <c r="G392" t="inlineStr">
        <is>
          <t>captured</t>
        </is>
      </c>
      <c r="H392" t="n">
        <v>1</v>
      </c>
      <c r="I392">
        <f>IFERROR(VLOOKUP(C392, Merchants!$A$2:$D$41, 2, FALSE), "Merchant not found")</f>
        <v/>
      </c>
      <c r="J392">
        <f>IFERROR(VLOOKUP(C392, Merchants!$A$2:$D$41, 3, FALSE), "Merchant not found")</f>
        <v/>
      </c>
      <c r="K392">
        <f>IFERROR(VLOOKUP(C392, Merchants!$A$2:$D$41, 4, FALSE), "Merchant not found")</f>
        <v/>
      </c>
      <c r="L392">
        <f>HLOOKUP(F392, Fee_Tiers!$B$1:$E$2, 2, FALSE)</f>
        <v/>
      </c>
      <c r="M392">
        <f>IF(AND(E392&gt;5000, K392&lt;&gt;"&gt;East"), "High-Value Merchant Day", "Standard")</f>
        <v/>
      </c>
    </row>
    <row r="393">
      <c r="A393" t="inlineStr">
        <is>
          <t>TXN100391</t>
        </is>
      </c>
      <c r="B393" t="n">
        <v>55</v>
      </c>
      <c r="C393" t="n">
        <v>22</v>
      </c>
      <c r="D393" t="inlineStr">
        <is>
          <t>2026-01-10 18:38:00</t>
        </is>
      </c>
      <c r="E393" t="n">
        <v>499</v>
      </c>
      <c r="F393" t="inlineStr">
        <is>
          <t>UPI</t>
        </is>
      </c>
      <c r="G393" t="inlineStr">
        <is>
          <t>captured</t>
        </is>
      </c>
      <c r="H393" t="n">
        <v>36</v>
      </c>
      <c r="I393">
        <f>IFERROR(VLOOKUP(C393, Merchants!$A$2:$D$41, 2, FALSE), "Merchant not found")</f>
        <v/>
      </c>
      <c r="J393">
        <f>IFERROR(VLOOKUP(C393, Merchants!$A$2:$D$41, 3, FALSE), "Merchant not found")</f>
        <v/>
      </c>
      <c r="K393">
        <f>IFERROR(VLOOKUP(C393, Merchants!$A$2:$D$41, 4, FALSE), "Merchant not found")</f>
        <v/>
      </c>
      <c r="L393">
        <f>HLOOKUP(F393, Fee_Tiers!$B$1:$E$2, 2, FALSE)</f>
        <v/>
      </c>
      <c r="M393">
        <f>IF(AND(E393&gt;5000, K393&lt;&gt;"&gt;East"), "High-Value Merchant Day", "Standard")</f>
        <v/>
      </c>
    </row>
    <row r="394">
      <c r="A394" t="inlineStr">
        <is>
          <t>TXN100392</t>
        </is>
      </c>
      <c r="B394" t="n">
        <v>269</v>
      </c>
      <c r="C394" t="n">
        <v>32</v>
      </c>
      <c r="D394" t="inlineStr">
        <is>
          <t>2026-01-15 20:34:00</t>
        </is>
      </c>
      <c r="E394" t="n">
        <v>49</v>
      </c>
      <c r="F394" t="inlineStr">
        <is>
          <t>Card</t>
        </is>
      </c>
      <c r="G394" t="inlineStr">
        <is>
          <t>captured</t>
        </is>
      </c>
      <c r="H394" t="n">
        <v>17</v>
      </c>
      <c r="I394">
        <f>IFERROR(VLOOKUP(C394, Merchants!$A$2:$D$41, 2, FALSE), "Merchant not found")</f>
        <v/>
      </c>
      <c r="J394">
        <f>IFERROR(VLOOKUP(C394, Merchants!$A$2:$D$41, 3, FALSE), "Merchant not found")</f>
        <v/>
      </c>
      <c r="K394">
        <f>IFERROR(VLOOKUP(C394, Merchants!$A$2:$D$41, 4, FALSE), "Merchant not found")</f>
        <v/>
      </c>
      <c r="L394">
        <f>HLOOKUP(F394, Fee_Tiers!$B$1:$E$2, 2, FALSE)</f>
        <v/>
      </c>
      <c r="M394">
        <f>IF(AND(E394&gt;5000, K394&lt;&gt;"&gt;East"), "High-Value Merchant Day", "Standard")</f>
        <v/>
      </c>
    </row>
    <row r="395">
      <c r="A395" t="inlineStr">
        <is>
          <t>TXN100393</t>
        </is>
      </c>
      <c r="B395" t="n">
        <v>140</v>
      </c>
      <c r="C395" t="n">
        <v>13</v>
      </c>
      <c r="D395" t="inlineStr">
        <is>
          <t>2026-01-28 16:29:00</t>
        </is>
      </c>
      <c r="E395" t="n">
        <v>2999</v>
      </c>
      <c r="F395" t="inlineStr">
        <is>
          <t>UPI</t>
        </is>
      </c>
      <c r="G395" t="inlineStr">
        <is>
          <t>captured</t>
        </is>
      </c>
      <c r="H395" t="n">
        <v>14</v>
      </c>
      <c r="I395">
        <f>IFERROR(VLOOKUP(C395, Merchants!$A$2:$D$41, 2, FALSE), "Merchant not found")</f>
        <v/>
      </c>
      <c r="J395">
        <f>IFERROR(VLOOKUP(C395, Merchants!$A$2:$D$41, 3, FALSE), "Merchant not found")</f>
        <v/>
      </c>
      <c r="K395">
        <f>IFERROR(VLOOKUP(C395, Merchants!$A$2:$D$41, 4, FALSE), "Merchant not found")</f>
        <v/>
      </c>
      <c r="L395">
        <f>HLOOKUP(F395, Fee_Tiers!$B$1:$E$2, 2, FALSE)</f>
        <v/>
      </c>
      <c r="M395">
        <f>IF(AND(E395&gt;5000, K395&lt;&gt;"&gt;East"), "High-Value Merchant Day", "Standard")</f>
        <v/>
      </c>
    </row>
    <row r="396">
      <c r="A396" t="inlineStr">
        <is>
          <t>TXN100394</t>
        </is>
      </c>
      <c r="B396" t="n">
        <v>235</v>
      </c>
      <c r="C396" t="n">
        <v>17</v>
      </c>
      <c r="D396" t="inlineStr">
        <is>
          <t>2026-01-11 05:46:00</t>
        </is>
      </c>
      <c r="E396" t="n">
        <v>2999</v>
      </c>
      <c r="F396" t="inlineStr">
        <is>
          <t>UPI</t>
        </is>
      </c>
      <c r="G396" t="inlineStr">
        <is>
          <t>captured</t>
        </is>
      </c>
      <c r="H396" t="n">
        <v>91</v>
      </c>
      <c r="I396">
        <f>IFERROR(VLOOKUP(C396, Merchants!$A$2:$D$41, 2, FALSE), "Merchant not found")</f>
        <v/>
      </c>
      <c r="J396">
        <f>IFERROR(VLOOKUP(C396, Merchants!$A$2:$D$41, 3, FALSE), "Merchant not found")</f>
        <v/>
      </c>
      <c r="K396">
        <f>IFERROR(VLOOKUP(C396, Merchants!$A$2:$D$41, 4, FALSE), "Merchant not found")</f>
        <v/>
      </c>
      <c r="L396">
        <f>HLOOKUP(F396, Fee_Tiers!$B$1:$E$2, 2, FALSE)</f>
        <v/>
      </c>
      <c r="M396">
        <f>IF(AND(E396&gt;5000, K396&lt;&gt;"&gt;East"), "High-Value Merchant Day", "Standard")</f>
        <v/>
      </c>
    </row>
    <row r="397">
      <c r="A397" t="inlineStr">
        <is>
          <t>TXN100395</t>
        </is>
      </c>
      <c r="B397" t="n">
        <v>173</v>
      </c>
      <c r="C397" t="n">
        <v>19</v>
      </c>
      <c r="D397" t="inlineStr">
        <is>
          <t>2026-01-06 00:47:00</t>
        </is>
      </c>
      <c r="E397" t="n">
        <v>499</v>
      </c>
      <c r="F397" t="inlineStr">
        <is>
          <t>UPI</t>
        </is>
      </c>
      <c r="G397" t="inlineStr">
        <is>
          <t>failed</t>
        </is>
      </c>
      <c r="H397" t="n">
        <v>72</v>
      </c>
      <c r="I397">
        <f>IFERROR(VLOOKUP(C397, Merchants!$A$2:$D$41, 2, FALSE), "Merchant not found")</f>
        <v/>
      </c>
      <c r="J397">
        <f>IFERROR(VLOOKUP(C397, Merchants!$A$2:$D$41, 3, FALSE), "Merchant not found")</f>
        <v/>
      </c>
      <c r="K397">
        <f>IFERROR(VLOOKUP(C397, Merchants!$A$2:$D$41, 4, FALSE), "Merchant not found")</f>
        <v/>
      </c>
      <c r="L397">
        <f>HLOOKUP(F397, Fee_Tiers!$B$1:$E$2, 2, FALSE)</f>
        <v/>
      </c>
      <c r="M397">
        <f>IF(AND(E397&gt;5000, K397&lt;&gt;"&gt;East"), "High-Value Merchant Day", "Standard")</f>
        <v/>
      </c>
    </row>
    <row r="398">
      <c r="A398" t="inlineStr">
        <is>
          <t>TXN100396</t>
        </is>
      </c>
      <c r="B398" t="n">
        <v>313</v>
      </c>
      <c r="C398" t="n">
        <v>26</v>
      </c>
      <c r="D398" t="inlineStr">
        <is>
          <t>2026-01-22 06:11:00</t>
        </is>
      </c>
      <c r="E398" t="n">
        <v>499</v>
      </c>
      <c r="F398" t="inlineStr">
        <is>
          <t>UPI</t>
        </is>
      </c>
      <c r="G398" t="inlineStr">
        <is>
          <t>captured</t>
        </is>
      </c>
      <c r="H398" t="n">
        <v>54</v>
      </c>
      <c r="I398">
        <f>IFERROR(VLOOKUP(C398, Merchants!$A$2:$D$41, 2, FALSE), "Merchant not found")</f>
        <v/>
      </c>
      <c r="J398">
        <f>IFERROR(VLOOKUP(C398, Merchants!$A$2:$D$41, 3, FALSE), "Merchant not found")</f>
        <v/>
      </c>
      <c r="K398">
        <f>IFERROR(VLOOKUP(C398, Merchants!$A$2:$D$41, 4, FALSE), "Merchant not found")</f>
        <v/>
      </c>
      <c r="L398">
        <f>HLOOKUP(F398, Fee_Tiers!$B$1:$E$2, 2, FALSE)</f>
        <v/>
      </c>
      <c r="M398">
        <f>IF(AND(E398&gt;5000, K398&lt;&gt;"&gt;East"), "High-Value Merchant Day", "Standard")</f>
        <v/>
      </c>
    </row>
    <row r="399">
      <c r="A399" t="inlineStr">
        <is>
          <t>TXN100397</t>
        </is>
      </c>
      <c r="B399" t="n">
        <v>206</v>
      </c>
      <c r="C399" t="n">
        <v>7</v>
      </c>
      <c r="D399" t="inlineStr">
        <is>
          <t>2026-01-17 10:05:00</t>
        </is>
      </c>
      <c r="E399" t="n">
        <v>149</v>
      </c>
      <c r="F399" t="inlineStr">
        <is>
          <t>Wallet</t>
        </is>
      </c>
      <c r="G399" t="inlineStr">
        <is>
          <t>captured</t>
        </is>
      </c>
      <c r="H399" t="n">
        <v>23</v>
      </c>
      <c r="I399">
        <f>IFERROR(VLOOKUP(C399, Merchants!$A$2:$D$41, 2, FALSE), "Merchant not found")</f>
        <v/>
      </c>
      <c r="J399">
        <f>IFERROR(VLOOKUP(C399, Merchants!$A$2:$D$41, 3, FALSE), "Merchant not found")</f>
        <v/>
      </c>
      <c r="K399">
        <f>IFERROR(VLOOKUP(C399, Merchants!$A$2:$D$41, 4, FALSE), "Merchant not found")</f>
        <v/>
      </c>
      <c r="L399">
        <f>HLOOKUP(F399, Fee_Tiers!$B$1:$E$2, 2, FALSE)</f>
        <v/>
      </c>
      <c r="M399">
        <f>IF(AND(E399&gt;5000, K399&lt;&gt;"&gt;East"), "High-Value Merchant Day", "Standard")</f>
        <v/>
      </c>
    </row>
    <row r="400">
      <c r="A400" t="inlineStr">
        <is>
          <t>TXN100398</t>
        </is>
      </c>
      <c r="B400" t="n">
        <v>128</v>
      </c>
      <c r="C400" t="n">
        <v>1</v>
      </c>
      <c r="D400" t="inlineStr">
        <is>
          <t>2026-01-05 15:20:00</t>
        </is>
      </c>
      <c r="E400" t="n">
        <v>1499</v>
      </c>
      <c r="F400" t="inlineStr">
        <is>
          <t>Netbanking</t>
        </is>
      </c>
      <c r="G400" t="inlineStr">
        <is>
          <t>captured</t>
        </is>
      </c>
      <c r="H400" t="n">
        <v>33</v>
      </c>
      <c r="I400">
        <f>IFERROR(VLOOKUP(C400, Merchants!$A$2:$D$41, 2, FALSE), "Merchant not found")</f>
        <v/>
      </c>
      <c r="J400">
        <f>IFERROR(VLOOKUP(C400, Merchants!$A$2:$D$41, 3, FALSE), "Merchant not found")</f>
        <v/>
      </c>
      <c r="K400">
        <f>IFERROR(VLOOKUP(C400, Merchants!$A$2:$D$41, 4, FALSE), "Merchant not found")</f>
        <v/>
      </c>
      <c r="L400">
        <f>HLOOKUP(F400, Fee_Tiers!$B$1:$E$2, 2, FALSE)</f>
        <v/>
      </c>
      <c r="M400">
        <f>IF(AND(E400&gt;5000, K400&lt;&gt;"&gt;East"), "High-Value Merchant Day", "Standard")</f>
        <v/>
      </c>
    </row>
    <row r="401">
      <c r="A401" t="inlineStr">
        <is>
          <t>TXN100399</t>
        </is>
      </c>
      <c r="B401" t="n">
        <v>137</v>
      </c>
      <c r="C401" t="n">
        <v>22</v>
      </c>
      <c r="D401" t="inlineStr">
        <is>
          <t>2026-01-13 07:28:00</t>
        </is>
      </c>
      <c r="E401" t="n">
        <v>799</v>
      </c>
      <c r="F401" t="inlineStr">
        <is>
          <t>UPI</t>
        </is>
      </c>
      <c r="G401" t="inlineStr">
        <is>
          <t>failed</t>
        </is>
      </c>
      <c r="H401" t="n">
        <v>38</v>
      </c>
      <c r="I401">
        <f>IFERROR(VLOOKUP(C401, Merchants!$A$2:$D$41, 2, FALSE), "Merchant not found")</f>
        <v/>
      </c>
      <c r="J401">
        <f>IFERROR(VLOOKUP(C401, Merchants!$A$2:$D$41, 3, FALSE), "Merchant not found")</f>
        <v/>
      </c>
      <c r="K401">
        <f>IFERROR(VLOOKUP(C401, Merchants!$A$2:$D$41, 4, FALSE), "Merchant not found")</f>
        <v/>
      </c>
      <c r="L401">
        <f>HLOOKUP(F401, Fee_Tiers!$B$1:$E$2, 2, FALSE)</f>
        <v/>
      </c>
      <c r="M401">
        <f>IF(AND(E401&gt;5000, K401&lt;&gt;"&gt;East"), "High-Value Merchant Day", "Standard")</f>
        <v/>
      </c>
    </row>
    <row r="402">
      <c r="A402" t="inlineStr">
        <is>
          <t>TXN100400</t>
        </is>
      </c>
      <c r="B402" t="n">
        <v>6</v>
      </c>
      <c r="C402" t="n">
        <v>17</v>
      </c>
      <c r="D402" t="inlineStr">
        <is>
          <t>2026-01-19 23:36:00</t>
        </is>
      </c>
      <c r="E402" t="n">
        <v>49</v>
      </c>
      <c r="F402" t="inlineStr">
        <is>
          <t>UPI</t>
        </is>
      </c>
      <c r="G402" t="inlineStr">
        <is>
          <t>captured</t>
        </is>
      </c>
      <c r="H402" t="n">
        <v>83</v>
      </c>
      <c r="I402">
        <f>IFERROR(VLOOKUP(C402, Merchants!$A$2:$D$41, 2, FALSE), "Merchant not found")</f>
        <v/>
      </c>
      <c r="J402">
        <f>IFERROR(VLOOKUP(C402, Merchants!$A$2:$D$41, 3, FALSE), "Merchant not found")</f>
        <v/>
      </c>
      <c r="K402">
        <f>IFERROR(VLOOKUP(C402, Merchants!$A$2:$D$41, 4, FALSE), "Merchant not found")</f>
        <v/>
      </c>
      <c r="L402">
        <f>HLOOKUP(F402, Fee_Tiers!$B$1:$E$2, 2, FALSE)</f>
        <v/>
      </c>
      <c r="M402">
        <f>IF(AND(E402&gt;5000, K402&lt;&gt;"&gt;East"), "High-Value Merchant Day", "Standard")</f>
        <v/>
      </c>
    </row>
    <row r="403">
      <c r="A403" t="inlineStr">
        <is>
          <t>TXN100401</t>
        </is>
      </c>
      <c r="B403" t="n">
        <v>32</v>
      </c>
      <c r="C403" t="n">
        <v>8</v>
      </c>
      <c r="D403" t="inlineStr">
        <is>
          <t>2026-01-12 22:15:00</t>
        </is>
      </c>
      <c r="E403" t="n">
        <v>299</v>
      </c>
      <c r="F403" t="inlineStr">
        <is>
          <t>Card</t>
        </is>
      </c>
      <c r="G403" t="inlineStr">
        <is>
          <t>captured</t>
        </is>
      </c>
      <c r="H403" t="n">
        <v>59</v>
      </c>
      <c r="I403">
        <f>IFERROR(VLOOKUP(C403, Merchants!$A$2:$D$41, 2, FALSE), "Merchant not found")</f>
        <v/>
      </c>
      <c r="J403">
        <f>IFERROR(VLOOKUP(C403, Merchants!$A$2:$D$41, 3, FALSE), "Merchant not found")</f>
        <v/>
      </c>
      <c r="K403">
        <f>IFERROR(VLOOKUP(C403, Merchants!$A$2:$D$41, 4, FALSE), "Merchant not found")</f>
        <v/>
      </c>
      <c r="L403">
        <f>HLOOKUP(F403, Fee_Tiers!$B$1:$E$2, 2, FALSE)</f>
        <v/>
      </c>
      <c r="M403">
        <f>IF(AND(E403&gt;5000, K403&lt;&gt;"&gt;East"), "High-Value Merchant Day", "Standard")</f>
        <v/>
      </c>
    </row>
    <row r="404">
      <c r="A404" t="inlineStr">
        <is>
          <t>TXN100402</t>
        </is>
      </c>
      <c r="B404" t="n">
        <v>258</v>
      </c>
      <c r="C404" t="n">
        <v>20</v>
      </c>
      <c r="D404" t="inlineStr">
        <is>
          <t>2026-01-10 05:25:00</t>
        </is>
      </c>
      <c r="E404" t="n">
        <v>149</v>
      </c>
      <c r="F404" t="inlineStr">
        <is>
          <t>UPI</t>
        </is>
      </c>
      <c r="G404" t="inlineStr">
        <is>
          <t>captured</t>
        </is>
      </c>
      <c r="H404" t="n">
        <v>88</v>
      </c>
      <c r="I404">
        <f>IFERROR(VLOOKUP(C404, Merchants!$A$2:$D$41, 2, FALSE), "Merchant not found")</f>
        <v/>
      </c>
      <c r="J404">
        <f>IFERROR(VLOOKUP(C404, Merchants!$A$2:$D$41, 3, FALSE), "Merchant not found")</f>
        <v/>
      </c>
      <c r="K404">
        <f>IFERROR(VLOOKUP(C404, Merchants!$A$2:$D$41, 4, FALSE), "Merchant not found")</f>
        <v/>
      </c>
      <c r="L404">
        <f>HLOOKUP(F404, Fee_Tiers!$B$1:$E$2, 2, FALSE)</f>
        <v/>
      </c>
      <c r="M404">
        <f>IF(AND(E404&gt;5000, K404&lt;&gt;"&gt;East"), "High-Value Merchant Day", "Standard")</f>
        <v/>
      </c>
    </row>
    <row r="405">
      <c r="A405" t="inlineStr">
        <is>
          <t>TXN100403</t>
        </is>
      </c>
      <c r="B405" t="n">
        <v>152</v>
      </c>
      <c r="C405" t="n">
        <v>24</v>
      </c>
      <c r="D405" t="inlineStr">
        <is>
          <t>2026-01-04 20:58:00</t>
        </is>
      </c>
      <c r="E405" t="n">
        <v>149</v>
      </c>
      <c r="F405" t="inlineStr">
        <is>
          <t>UPI</t>
        </is>
      </c>
      <c r="G405" t="inlineStr">
        <is>
          <t>chargeback</t>
        </is>
      </c>
      <c r="H405" t="n">
        <v>78</v>
      </c>
      <c r="I405">
        <f>IFERROR(VLOOKUP(C405, Merchants!$A$2:$D$41, 2, FALSE), "Merchant not found")</f>
        <v/>
      </c>
      <c r="J405">
        <f>IFERROR(VLOOKUP(C405, Merchants!$A$2:$D$41, 3, FALSE), "Merchant not found")</f>
        <v/>
      </c>
      <c r="K405">
        <f>IFERROR(VLOOKUP(C405, Merchants!$A$2:$D$41, 4, FALSE), "Merchant not found")</f>
        <v/>
      </c>
      <c r="L405">
        <f>HLOOKUP(F405, Fee_Tiers!$B$1:$E$2, 2, FALSE)</f>
        <v/>
      </c>
      <c r="M405">
        <f>IF(AND(E405&gt;5000, K405&lt;&gt;"&gt;East"), "High-Value Merchant Day", "Standard")</f>
        <v/>
      </c>
    </row>
    <row r="406">
      <c r="A406" t="inlineStr">
        <is>
          <t>TXN100404</t>
        </is>
      </c>
      <c r="B406" t="n">
        <v>245</v>
      </c>
      <c r="C406" t="n">
        <v>10</v>
      </c>
      <c r="D406" t="inlineStr">
        <is>
          <t>2026-01-08 07:08:00</t>
        </is>
      </c>
      <c r="E406" t="n">
        <v>799</v>
      </c>
      <c r="F406" t="inlineStr">
        <is>
          <t>Wallet</t>
        </is>
      </c>
      <c r="G406" t="inlineStr">
        <is>
          <t>captured</t>
        </is>
      </c>
      <c r="H406" t="n">
        <v>58</v>
      </c>
      <c r="I406">
        <f>IFERROR(VLOOKUP(C406, Merchants!$A$2:$D$41, 2, FALSE), "Merchant not found")</f>
        <v/>
      </c>
      <c r="J406">
        <f>IFERROR(VLOOKUP(C406, Merchants!$A$2:$D$41, 3, FALSE), "Merchant not found")</f>
        <v/>
      </c>
      <c r="K406">
        <f>IFERROR(VLOOKUP(C406, Merchants!$A$2:$D$41, 4, FALSE), "Merchant not found")</f>
        <v/>
      </c>
      <c r="L406">
        <f>HLOOKUP(F406, Fee_Tiers!$B$1:$E$2, 2, FALSE)</f>
        <v/>
      </c>
      <c r="M406">
        <f>IF(AND(E406&gt;5000, K406&lt;&gt;"&gt;East"), "High-Value Merchant Day", "Standard")</f>
        <v/>
      </c>
    </row>
    <row r="407">
      <c r="A407" t="inlineStr">
        <is>
          <t>TXN100405</t>
        </is>
      </c>
      <c r="B407" t="n">
        <v>213</v>
      </c>
      <c r="C407" t="n">
        <v>36</v>
      </c>
      <c r="D407" t="inlineStr">
        <is>
          <t>2026-01-24 19:23:00</t>
        </is>
      </c>
      <c r="E407" t="n">
        <v>49</v>
      </c>
      <c r="F407" t="inlineStr">
        <is>
          <t>Wallet</t>
        </is>
      </c>
      <c r="G407" t="inlineStr">
        <is>
          <t>captured</t>
        </is>
      </c>
      <c r="H407" t="n">
        <v>60</v>
      </c>
      <c r="I407">
        <f>IFERROR(VLOOKUP(C407, Merchants!$A$2:$D$41, 2, FALSE), "Merchant not found")</f>
        <v/>
      </c>
      <c r="J407">
        <f>IFERROR(VLOOKUP(C407, Merchants!$A$2:$D$41, 3, FALSE), "Merchant not found")</f>
        <v/>
      </c>
      <c r="K407">
        <f>IFERROR(VLOOKUP(C407, Merchants!$A$2:$D$41, 4, FALSE), "Merchant not found")</f>
        <v/>
      </c>
      <c r="L407">
        <f>HLOOKUP(F407, Fee_Tiers!$B$1:$E$2, 2, FALSE)</f>
        <v/>
      </c>
      <c r="M407">
        <f>IF(AND(E407&gt;5000, K407&lt;&gt;"&gt;East"), "High-Value Merchant Day", "Standard")</f>
        <v/>
      </c>
    </row>
    <row r="408">
      <c r="A408" t="inlineStr">
        <is>
          <t>TXN100406</t>
        </is>
      </c>
      <c r="B408" t="n">
        <v>341</v>
      </c>
      <c r="C408" t="n">
        <v>14</v>
      </c>
      <c r="D408" t="inlineStr">
        <is>
          <t>2026-01-25 17:51:00</t>
        </is>
      </c>
      <c r="E408" t="n">
        <v>99</v>
      </c>
      <c r="F408" t="inlineStr">
        <is>
          <t>Netbanking</t>
        </is>
      </c>
      <c r="G408" t="inlineStr">
        <is>
          <t>captured</t>
        </is>
      </c>
      <c r="H408" t="n">
        <v>97</v>
      </c>
      <c r="I408">
        <f>IFERROR(VLOOKUP(C408, Merchants!$A$2:$D$41, 2, FALSE), "Merchant not found")</f>
        <v/>
      </c>
      <c r="J408">
        <f>IFERROR(VLOOKUP(C408, Merchants!$A$2:$D$41, 3, FALSE), "Merchant not found")</f>
        <v/>
      </c>
      <c r="K408">
        <f>IFERROR(VLOOKUP(C408, Merchants!$A$2:$D$41, 4, FALSE), "Merchant not found")</f>
        <v/>
      </c>
      <c r="L408">
        <f>HLOOKUP(F408, Fee_Tiers!$B$1:$E$2, 2, FALSE)</f>
        <v/>
      </c>
      <c r="M408">
        <f>IF(AND(E408&gt;5000, K408&lt;&gt;"&gt;East"), "High-Value Merchant Day", "Standard")</f>
        <v/>
      </c>
    </row>
    <row r="409">
      <c r="A409" t="inlineStr">
        <is>
          <t>TXN100407</t>
        </is>
      </c>
      <c r="B409" t="n">
        <v>306</v>
      </c>
      <c r="C409" t="n">
        <v>6</v>
      </c>
      <c r="D409" t="inlineStr">
        <is>
          <t>2026-01-08 21:48:00</t>
        </is>
      </c>
      <c r="E409" t="n">
        <v>149</v>
      </c>
      <c r="F409" t="inlineStr">
        <is>
          <t>Netbanking</t>
        </is>
      </c>
      <c r="G409" t="inlineStr">
        <is>
          <t>captured</t>
        </is>
      </c>
      <c r="H409" t="n">
        <v>67</v>
      </c>
      <c r="I409">
        <f>IFERROR(VLOOKUP(C409, Merchants!$A$2:$D$41, 2, FALSE), "Merchant not found")</f>
        <v/>
      </c>
      <c r="J409">
        <f>IFERROR(VLOOKUP(C409, Merchants!$A$2:$D$41, 3, FALSE), "Merchant not found")</f>
        <v/>
      </c>
      <c r="K409">
        <f>IFERROR(VLOOKUP(C409, Merchants!$A$2:$D$41, 4, FALSE), "Merchant not found")</f>
        <v/>
      </c>
      <c r="L409">
        <f>HLOOKUP(F409, Fee_Tiers!$B$1:$E$2, 2, FALSE)</f>
        <v/>
      </c>
      <c r="M409">
        <f>IF(AND(E409&gt;5000, K409&lt;&gt;"&gt;East"), "High-Value Merchant Day", "Standard")</f>
        <v/>
      </c>
    </row>
    <row r="410">
      <c r="A410" t="inlineStr">
        <is>
          <t>TXN100408</t>
        </is>
      </c>
      <c r="B410" t="n">
        <v>186</v>
      </c>
      <c r="C410" t="n">
        <v>5</v>
      </c>
      <c r="D410" t="inlineStr">
        <is>
          <t>2026-01-15 16:45:00</t>
        </is>
      </c>
      <c r="E410" t="n">
        <v>499</v>
      </c>
      <c r="F410" t="inlineStr">
        <is>
          <t>UPI</t>
        </is>
      </c>
      <c r="G410" t="inlineStr">
        <is>
          <t>captured</t>
        </is>
      </c>
      <c r="H410" t="n">
        <v>72</v>
      </c>
      <c r="I410">
        <f>IFERROR(VLOOKUP(C410, Merchants!$A$2:$D$41, 2, FALSE), "Merchant not found")</f>
        <v/>
      </c>
      <c r="J410">
        <f>IFERROR(VLOOKUP(C410, Merchants!$A$2:$D$41, 3, FALSE), "Merchant not found")</f>
        <v/>
      </c>
      <c r="K410">
        <f>IFERROR(VLOOKUP(C410, Merchants!$A$2:$D$41, 4, FALSE), "Merchant not found")</f>
        <v/>
      </c>
      <c r="L410">
        <f>HLOOKUP(F410, Fee_Tiers!$B$1:$E$2, 2, FALSE)</f>
        <v/>
      </c>
      <c r="M410">
        <f>IF(AND(E410&gt;5000, K410&lt;&gt;"&gt;East"), "High-Value Merchant Day", "Standard")</f>
        <v/>
      </c>
    </row>
    <row r="411">
      <c r="A411" t="inlineStr">
        <is>
          <t>TXN100409</t>
        </is>
      </c>
      <c r="B411" t="n">
        <v>281</v>
      </c>
      <c r="C411" t="n">
        <v>33</v>
      </c>
      <c r="D411" t="inlineStr">
        <is>
          <t>2026-01-04 01:53:00</t>
        </is>
      </c>
      <c r="E411" t="n">
        <v>4999</v>
      </c>
      <c r="F411" t="inlineStr">
        <is>
          <t>UPI</t>
        </is>
      </c>
      <c r="G411" t="inlineStr">
        <is>
          <t>captured</t>
        </is>
      </c>
      <c r="H411" t="n">
        <v>25</v>
      </c>
      <c r="I411">
        <f>IFERROR(VLOOKUP(C411, Merchants!$A$2:$D$41, 2, FALSE), "Merchant not found")</f>
        <v/>
      </c>
      <c r="J411">
        <f>IFERROR(VLOOKUP(C411, Merchants!$A$2:$D$41, 3, FALSE), "Merchant not found")</f>
        <v/>
      </c>
      <c r="K411">
        <f>IFERROR(VLOOKUP(C411, Merchants!$A$2:$D$41, 4, FALSE), "Merchant not found")</f>
        <v/>
      </c>
      <c r="L411">
        <f>HLOOKUP(F411, Fee_Tiers!$B$1:$E$2, 2, FALSE)</f>
        <v/>
      </c>
      <c r="M411">
        <f>IF(AND(E411&gt;5000, K411&lt;&gt;"&gt;East"), "High-Value Merchant Day", "Standard")</f>
        <v/>
      </c>
    </row>
    <row r="412">
      <c r="A412" t="inlineStr">
        <is>
          <t>TXN100410</t>
        </is>
      </c>
      <c r="B412" t="n">
        <v>85</v>
      </c>
      <c r="C412" t="n">
        <v>21</v>
      </c>
      <c r="D412" t="inlineStr">
        <is>
          <t>2026-01-19 17:09:00</t>
        </is>
      </c>
      <c r="E412" t="n">
        <v>99</v>
      </c>
      <c r="F412" t="inlineStr">
        <is>
          <t>UPI</t>
        </is>
      </c>
      <c r="G412" t="inlineStr">
        <is>
          <t>captured</t>
        </is>
      </c>
      <c r="H412" t="n">
        <v>66</v>
      </c>
      <c r="I412">
        <f>IFERROR(VLOOKUP(C412, Merchants!$A$2:$D$41, 2, FALSE), "Merchant not found")</f>
        <v/>
      </c>
      <c r="J412">
        <f>IFERROR(VLOOKUP(C412, Merchants!$A$2:$D$41, 3, FALSE), "Merchant not found")</f>
        <v/>
      </c>
      <c r="K412">
        <f>IFERROR(VLOOKUP(C412, Merchants!$A$2:$D$41, 4, FALSE), "Merchant not found")</f>
        <v/>
      </c>
      <c r="L412">
        <f>HLOOKUP(F412, Fee_Tiers!$B$1:$E$2, 2, FALSE)</f>
        <v/>
      </c>
      <c r="M412">
        <f>IF(AND(E412&gt;5000, K412&lt;&gt;"&gt;East"), "High-Value Merchant Day", "Standard")</f>
        <v/>
      </c>
    </row>
    <row r="413">
      <c r="A413" t="inlineStr">
        <is>
          <t>TXN100411</t>
        </is>
      </c>
      <c r="B413" t="n">
        <v>106</v>
      </c>
      <c r="C413" t="n">
        <v>38</v>
      </c>
      <c r="D413" t="inlineStr">
        <is>
          <t>2026-01-15 03:43:00</t>
        </is>
      </c>
      <c r="E413" t="n">
        <v>499</v>
      </c>
      <c r="F413" t="inlineStr">
        <is>
          <t>UPI</t>
        </is>
      </c>
      <c r="G413" t="inlineStr">
        <is>
          <t>captured</t>
        </is>
      </c>
      <c r="H413" t="n">
        <v>62</v>
      </c>
      <c r="I413">
        <f>IFERROR(VLOOKUP(C413, Merchants!$A$2:$D$41, 2, FALSE), "Merchant not found")</f>
        <v/>
      </c>
      <c r="J413">
        <f>IFERROR(VLOOKUP(C413, Merchants!$A$2:$D$41, 3, FALSE), "Merchant not found")</f>
        <v/>
      </c>
      <c r="K413">
        <f>IFERROR(VLOOKUP(C413, Merchants!$A$2:$D$41, 4, FALSE), "Merchant not found")</f>
        <v/>
      </c>
      <c r="L413">
        <f>HLOOKUP(F413, Fee_Tiers!$B$1:$E$2, 2, FALSE)</f>
        <v/>
      </c>
      <c r="M413">
        <f>IF(AND(E413&gt;5000, K413&lt;&gt;"&gt;East"), "High-Value Merchant Day", "Standard")</f>
        <v/>
      </c>
    </row>
    <row r="414">
      <c r="A414" t="inlineStr">
        <is>
          <t>TXN100412</t>
        </is>
      </c>
      <c r="B414" t="n">
        <v>29</v>
      </c>
      <c r="C414" t="n">
        <v>30</v>
      </c>
      <c r="D414" t="inlineStr">
        <is>
          <t>2026-01-03 16:28:00</t>
        </is>
      </c>
      <c r="E414" t="n">
        <v>149</v>
      </c>
      <c r="F414" t="inlineStr">
        <is>
          <t>Netbanking</t>
        </is>
      </c>
      <c r="G414" t="inlineStr">
        <is>
          <t>captured</t>
        </is>
      </c>
      <c r="H414" t="n">
        <v>16</v>
      </c>
      <c r="I414">
        <f>IFERROR(VLOOKUP(C414, Merchants!$A$2:$D$41, 2, FALSE), "Merchant not found")</f>
        <v/>
      </c>
      <c r="J414">
        <f>IFERROR(VLOOKUP(C414, Merchants!$A$2:$D$41, 3, FALSE), "Merchant not found")</f>
        <v/>
      </c>
      <c r="K414">
        <f>IFERROR(VLOOKUP(C414, Merchants!$A$2:$D$41, 4, FALSE), "Merchant not found")</f>
        <v/>
      </c>
      <c r="L414">
        <f>HLOOKUP(F414, Fee_Tiers!$B$1:$E$2, 2, FALSE)</f>
        <v/>
      </c>
      <c r="M414">
        <f>IF(AND(E414&gt;5000, K414&lt;&gt;"&gt;East"), "High-Value Merchant Day", "Standard")</f>
        <v/>
      </c>
    </row>
    <row r="415">
      <c r="A415" t="inlineStr">
        <is>
          <t>TXN100413</t>
        </is>
      </c>
      <c r="B415" t="n">
        <v>289</v>
      </c>
      <c r="C415" t="n">
        <v>4</v>
      </c>
      <c r="D415" t="inlineStr">
        <is>
          <t>2026-01-17 13:29:00</t>
        </is>
      </c>
      <c r="E415" t="n">
        <v>1499</v>
      </c>
      <c r="F415" t="inlineStr">
        <is>
          <t>Card</t>
        </is>
      </c>
      <c r="G415" t="inlineStr">
        <is>
          <t>captured</t>
        </is>
      </c>
      <c r="H415" t="n">
        <v>71</v>
      </c>
      <c r="I415">
        <f>IFERROR(VLOOKUP(C415, Merchants!$A$2:$D$41, 2, FALSE), "Merchant not found")</f>
        <v/>
      </c>
      <c r="J415">
        <f>IFERROR(VLOOKUP(C415, Merchants!$A$2:$D$41, 3, FALSE), "Merchant not found")</f>
        <v/>
      </c>
      <c r="K415">
        <f>IFERROR(VLOOKUP(C415, Merchants!$A$2:$D$41, 4, FALSE), "Merchant not found")</f>
        <v/>
      </c>
      <c r="L415">
        <f>HLOOKUP(F415, Fee_Tiers!$B$1:$E$2, 2, FALSE)</f>
        <v/>
      </c>
      <c r="M415">
        <f>IF(AND(E415&gt;5000, K415&lt;&gt;"&gt;East"), "High-Value Merchant Day", "Standard")</f>
        <v/>
      </c>
    </row>
    <row r="416">
      <c r="A416" t="inlineStr">
        <is>
          <t>TXN100414</t>
        </is>
      </c>
      <c r="B416" t="n">
        <v>158</v>
      </c>
      <c r="C416" t="n">
        <v>2</v>
      </c>
      <c r="D416" t="inlineStr">
        <is>
          <t>2026-01-15 21:51:00</t>
        </is>
      </c>
      <c r="E416" t="n">
        <v>1499</v>
      </c>
      <c r="F416" t="inlineStr">
        <is>
          <t>Card</t>
        </is>
      </c>
      <c r="G416" t="inlineStr">
        <is>
          <t>captured</t>
        </is>
      </c>
      <c r="H416" t="n">
        <v>50</v>
      </c>
      <c r="I416">
        <f>IFERROR(VLOOKUP(C416, Merchants!$A$2:$D$41, 2, FALSE), "Merchant not found")</f>
        <v/>
      </c>
      <c r="J416">
        <f>IFERROR(VLOOKUP(C416, Merchants!$A$2:$D$41, 3, FALSE), "Merchant not found")</f>
        <v/>
      </c>
      <c r="K416">
        <f>IFERROR(VLOOKUP(C416, Merchants!$A$2:$D$41, 4, FALSE), "Merchant not found")</f>
        <v/>
      </c>
      <c r="L416">
        <f>HLOOKUP(F416, Fee_Tiers!$B$1:$E$2, 2, FALSE)</f>
        <v/>
      </c>
      <c r="M416">
        <f>IF(AND(E416&gt;5000, K416&lt;&gt;"&gt;East"), "High-Value Merchant Day", "Standard")</f>
        <v/>
      </c>
    </row>
    <row r="417">
      <c r="A417" t="inlineStr">
        <is>
          <t>TXN100415</t>
        </is>
      </c>
      <c r="B417" t="n">
        <v>112</v>
      </c>
      <c r="C417" t="n">
        <v>38</v>
      </c>
      <c r="D417" t="inlineStr">
        <is>
          <t>2026-01-09 00:47:00</t>
        </is>
      </c>
      <c r="E417" t="n">
        <v>49</v>
      </c>
      <c r="F417" t="inlineStr">
        <is>
          <t>UPI</t>
        </is>
      </c>
      <c r="G417" t="inlineStr">
        <is>
          <t>captured</t>
        </is>
      </c>
      <c r="H417" t="n">
        <v>9</v>
      </c>
      <c r="I417">
        <f>IFERROR(VLOOKUP(C417, Merchants!$A$2:$D$41, 2, FALSE), "Merchant not found")</f>
        <v/>
      </c>
      <c r="J417">
        <f>IFERROR(VLOOKUP(C417, Merchants!$A$2:$D$41, 3, FALSE), "Merchant not found")</f>
        <v/>
      </c>
      <c r="K417">
        <f>IFERROR(VLOOKUP(C417, Merchants!$A$2:$D$41, 4, FALSE), "Merchant not found")</f>
        <v/>
      </c>
      <c r="L417">
        <f>HLOOKUP(F417, Fee_Tiers!$B$1:$E$2, 2, FALSE)</f>
        <v/>
      </c>
      <c r="M417">
        <f>IF(AND(E417&gt;5000, K417&lt;&gt;"&gt;East"), "High-Value Merchant Day", "Standard")</f>
        <v/>
      </c>
    </row>
    <row r="418">
      <c r="A418" t="inlineStr">
        <is>
          <t>TXN100416</t>
        </is>
      </c>
      <c r="B418" t="n">
        <v>33</v>
      </c>
      <c r="C418" t="n">
        <v>35</v>
      </c>
      <c r="D418" t="inlineStr">
        <is>
          <t>2026-01-02 13:22:00</t>
        </is>
      </c>
      <c r="E418" t="n">
        <v>299</v>
      </c>
      <c r="F418" t="inlineStr">
        <is>
          <t>Card</t>
        </is>
      </c>
      <c r="G418" t="inlineStr">
        <is>
          <t>failed</t>
        </is>
      </c>
      <c r="H418" t="n">
        <v>7</v>
      </c>
      <c r="I418">
        <f>IFERROR(VLOOKUP(C418, Merchants!$A$2:$D$41, 2, FALSE), "Merchant not found")</f>
        <v/>
      </c>
      <c r="J418">
        <f>IFERROR(VLOOKUP(C418, Merchants!$A$2:$D$41, 3, FALSE), "Merchant not found")</f>
        <v/>
      </c>
      <c r="K418">
        <f>IFERROR(VLOOKUP(C418, Merchants!$A$2:$D$41, 4, FALSE), "Merchant not found")</f>
        <v/>
      </c>
      <c r="L418">
        <f>HLOOKUP(F418, Fee_Tiers!$B$1:$E$2, 2, FALSE)</f>
        <v/>
      </c>
      <c r="M418">
        <f>IF(AND(E418&gt;5000, K418&lt;&gt;"&gt;East"), "High-Value Merchant Day", "Standard")</f>
        <v/>
      </c>
    </row>
    <row r="419">
      <c r="A419" t="inlineStr">
        <is>
          <t>TXN100417</t>
        </is>
      </c>
      <c r="B419" t="n">
        <v>242</v>
      </c>
      <c r="C419" t="n">
        <v>3</v>
      </c>
      <c r="D419" t="inlineStr">
        <is>
          <t>2026-01-30 02:59:00</t>
        </is>
      </c>
      <c r="E419" t="n">
        <v>49</v>
      </c>
      <c r="F419" t="inlineStr">
        <is>
          <t>UPI</t>
        </is>
      </c>
      <c r="G419" t="inlineStr">
        <is>
          <t>captured</t>
        </is>
      </c>
      <c r="H419" t="n">
        <v>36</v>
      </c>
      <c r="I419">
        <f>IFERROR(VLOOKUP(C419, Merchants!$A$2:$D$41, 2, FALSE), "Merchant not found")</f>
        <v/>
      </c>
      <c r="J419">
        <f>IFERROR(VLOOKUP(C419, Merchants!$A$2:$D$41, 3, FALSE), "Merchant not found")</f>
        <v/>
      </c>
      <c r="K419">
        <f>IFERROR(VLOOKUP(C419, Merchants!$A$2:$D$41, 4, FALSE), "Merchant not found")</f>
        <v/>
      </c>
      <c r="L419">
        <f>HLOOKUP(F419, Fee_Tiers!$B$1:$E$2, 2, FALSE)</f>
        <v/>
      </c>
      <c r="M419">
        <f>IF(AND(E419&gt;5000, K419&lt;&gt;"&gt;East"), "High-Value Merchant Day", "Standard")</f>
        <v/>
      </c>
    </row>
    <row r="420">
      <c r="A420" t="inlineStr">
        <is>
          <t>TXN100418</t>
        </is>
      </c>
      <c r="B420" t="n">
        <v>70</v>
      </c>
      <c r="C420" t="n">
        <v>27</v>
      </c>
      <c r="D420" t="inlineStr">
        <is>
          <t>2026-01-14 05:49:00</t>
        </is>
      </c>
      <c r="E420" t="n">
        <v>149</v>
      </c>
      <c r="F420" t="inlineStr">
        <is>
          <t>UPI</t>
        </is>
      </c>
      <c r="G420" t="inlineStr">
        <is>
          <t>captured</t>
        </is>
      </c>
      <c r="H420" t="n">
        <v>47</v>
      </c>
      <c r="I420">
        <f>IFERROR(VLOOKUP(C420, Merchants!$A$2:$D$41, 2, FALSE), "Merchant not found")</f>
        <v/>
      </c>
      <c r="J420">
        <f>IFERROR(VLOOKUP(C420, Merchants!$A$2:$D$41, 3, FALSE), "Merchant not found")</f>
        <v/>
      </c>
      <c r="K420">
        <f>IFERROR(VLOOKUP(C420, Merchants!$A$2:$D$41, 4, FALSE), "Merchant not found")</f>
        <v/>
      </c>
      <c r="L420">
        <f>HLOOKUP(F420, Fee_Tiers!$B$1:$E$2, 2, FALSE)</f>
        <v/>
      </c>
      <c r="M420">
        <f>IF(AND(E420&gt;5000, K420&lt;&gt;"&gt;East"), "High-Value Merchant Day", "Standard")</f>
        <v/>
      </c>
    </row>
    <row r="421">
      <c r="A421" t="inlineStr">
        <is>
          <t>TXN100419</t>
        </is>
      </c>
      <c r="B421" t="n">
        <v>194</v>
      </c>
      <c r="C421" t="n">
        <v>25</v>
      </c>
      <c r="D421" t="inlineStr">
        <is>
          <t>2026-01-29 12:28:00</t>
        </is>
      </c>
      <c r="E421" t="n">
        <v>49</v>
      </c>
      <c r="F421" t="inlineStr">
        <is>
          <t>Wallet</t>
        </is>
      </c>
      <c r="G421" t="inlineStr">
        <is>
          <t>captured</t>
        </is>
      </c>
      <c r="H421" t="n">
        <v>10</v>
      </c>
      <c r="I421">
        <f>IFERROR(VLOOKUP(C421, Merchants!$A$2:$D$41, 2, FALSE), "Merchant not found")</f>
        <v/>
      </c>
      <c r="J421">
        <f>IFERROR(VLOOKUP(C421, Merchants!$A$2:$D$41, 3, FALSE), "Merchant not found")</f>
        <v/>
      </c>
      <c r="K421">
        <f>IFERROR(VLOOKUP(C421, Merchants!$A$2:$D$41, 4, FALSE), "Merchant not found")</f>
        <v/>
      </c>
      <c r="L421">
        <f>HLOOKUP(F421, Fee_Tiers!$B$1:$E$2, 2, FALSE)</f>
        <v/>
      </c>
      <c r="M421">
        <f>IF(AND(E421&gt;5000, K421&lt;&gt;"&gt;East"), "High-Value Merchant Day", "Standard")</f>
        <v/>
      </c>
    </row>
    <row r="422">
      <c r="A422" t="inlineStr">
        <is>
          <t>TXN100420</t>
        </is>
      </c>
      <c r="B422" t="n">
        <v>277</v>
      </c>
      <c r="C422" t="n">
        <v>9</v>
      </c>
      <c r="D422" t="inlineStr">
        <is>
          <t>2026-01-22 21:55:00</t>
        </is>
      </c>
      <c r="E422" t="n">
        <v>799</v>
      </c>
      <c r="F422" t="inlineStr">
        <is>
          <t>UPI</t>
        </is>
      </c>
      <c r="G422" t="inlineStr">
        <is>
          <t>captured</t>
        </is>
      </c>
      <c r="H422" t="n">
        <v>83</v>
      </c>
      <c r="I422">
        <f>IFERROR(VLOOKUP(C422, Merchants!$A$2:$D$41, 2, FALSE), "Merchant not found")</f>
        <v/>
      </c>
      <c r="J422">
        <f>IFERROR(VLOOKUP(C422, Merchants!$A$2:$D$41, 3, FALSE), "Merchant not found")</f>
        <v/>
      </c>
      <c r="K422">
        <f>IFERROR(VLOOKUP(C422, Merchants!$A$2:$D$41, 4, FALSE), "Merchant not found")</f>
        <v/>
      </c>
      <c r="L422">
        <f>HLOOKUP(F422, Fee_Tiers!$B$1:$E$2, 2, FALSE)</f>
        <v/>
      </c>
      <c r="M422">
        <f>IF(AND(E422&gt;5000, K422&lt;&gt;"&gt;East"), "High-Value Merchant Day", "Standard")</f>
        <v/>
      </c>
    </row>
    <row r="423">
      <c r="A423" t="inlineStr">
        <is>
          <t>TXN100421</t>
        </is>
      </c>
      <c r="B423" t="n">
        <v>92</v>
      </c>
      <c r="C423" t="n">
        <v>35</v>
      </c>
      <c r="D423" t="inlineStr">
        <is>
          <t>2026-01-28 11:07:00</t>
        </is>
      </c>
      <c r="E423" t="n">
        <v>49</v>
      </c>
      <c r="F423" t="inlineStr">
        <is>
          <t>UPI</t>
        </is>
      </c>
      <c r="G423" t="inlineStr">
        <is>
          <t>captured</t>
        </is>
      </c>
      <c r="H423" t="n">
        <v>50</v>
      </c>
      <c r="I423">
        <f>IFERROR(VLOOKUP(C423, Merchants!$A$2:$D$41, 2, FALSE), "Merchant not found")</f>
        <v/>
      </c>
      <c r="J423">
        <f>IFERROR(VLOOKUP(C423, Merchants!$A$2:$D$41, 3, FALSE), "Merchant not found")</f>
        <v/>
      </c>
      <c r="K423">
        <f>IFERROR(VLOOKUP(C423, Merchants!$A$2:$D$41, 4, FALSE), "Merchant not found")</f>
        <v/>
      </c>
      <c r="L423">
        <f>HLOOKUP(F423, Fee_Tiers!$B$1:$E$2, 2, FALSE)</f>
        <v/>
      </c>
      <c r="M423">
        <f>IF(AND(E423&gt;5000, K423&lt;&gt;"&gt;East"), "High-Value Merchant Day", "Standard")</f>
        <v/>
      </c>
    </row>
    <row r="424">
      <c r="A424" t="inlineStr">
        <is>
          <t>TXN100422</t>
        </is>
      </c>
      <c r="B424" t="n">
        <v>115</v>
      </c>
      <c r="C424" t="n">
        <v>1</v>
      </c>
      <c r="D424" t="inlineStr">
        <is>
          <t>2026-01-17 04:46:00</t>
        </is>
      </c>
      <c r="E424" t="n">
        <v>149</v>
      </c>
      <c r="F424" t="inlineStr">
        <is>
          <t>Wallet</t>
        </is>
      </c>
      <c r="G424" t="inlineStr">
        <is>
          <t>captured</t>
        </is>
      </c>
      <c r="H424" t="n">
        <v>96</v>
      </c>
      <c r="I424">
        <f>IFERROR(VLOOKUP(C424, Merchants!$A$2:$D$41, 2, FALSE), "Merchant not found")</f>
        <v/>
      </c>
      <c r="J424">
        <f>IFERROR(VLOOKUP(C424, Merchants!$A$2:$D$41, 3, FALSE), "Merchant not found")</f>
        <v/>
      </c>
      <c r="K424">
        <f>IFERROR(VLOOKUP(C424, Merchants!$A$2:$D$41, 4, FALSE), "Merchant not found")</f>
        <v/>
      </c>
      <c r="L424">
        <f>HLOOKUP(F424, Fee_Tiers!$B$1:$E$2, 2, FALSE)</f>
        <v/>
      </c>
      <c r="M424">
        <f>IF(AND(E424&gt;5000, K424&lt;&gt;"&gt;East"), "High-Value Merchant Day", "Standard")</f>
        <v/>
      </c>
    </row>
    <row r="425">
      <c r="A425" t="inlineStr">
        <is>
          <t>TXN100423</t>
        </is>
      </c>
      <c r="B425" t="n">
        <v>345</v>
      </c>
      <c r="C425" t="n">
        <v>35</v>
      </c>
      <c r="D425" t="inlineStr">
        <is>
          <t>2026-01-01 09:29:00</t>
        </is>
      </c>
      <c r="E425" t="n">
        <v>499</v>
      </c>
      <c r="F425" t="inlineStr">
        <is>
          <t>Card</t>
        </is>
      </c>
      <c r="G425" t="inlineStr">
        <is>
          <t>captured</t>
        </is>
      </c>
      <c r="H425" t="n">
        <v>54</v>
      </c>
      <c r="I425">
        <f>IFERROR(VLOOKUP(C425, Merchants!$A$2:$D$41, 2, FALSE), "Merchant not found")</f>
        <v/>
      </c>
      <c r="J425">
        <f>IFERROR(VLOOKUP(C425, Merchants!$A$2:$D$41, 3, FALSE), "Merchant not found")</f>
        <v/>
      </c>
      <c r="K425">
        <f>IFERROR(VLOOKUP(C425, Merchants!$A$2:$D$41, 4, FALSE), "Merchant not found")</f>
        <v/>
      </c>
      <c r="L425">
        <f>HLOOKUP(F425, Fee_Tiers!$B$1:$E$2, 2, FALSE)</f>
        <v/>
      </c>
      <c r="M425">
        <f>IF(AND(E425&gt;5000, K425&lt;&gt;"&gt;East"), "High-Value Merchant Day", "Standard")</f>
        <v/>
      </c>
    </row>
    <row r="426">
      <c r="A426" t="inlineStr">
        <is>
          <t>TXN100424</t>
        </is>
      </c>
      <c r="B426" t="n">
        <v>118</v>
      </c>
      <c r="C426" t="n">
        <v>16</v>
      </c>
      <c r="D426" t="inlineStr">
        <is>
          <t>2026-01-18 12:52:00</t>
        </is>
      </c>
      <c r="E426" t="n">
        <v>49</v>
      </c>
      <c r="F426" t="inlineStr">
        <is>
          <t>UPI</t>
        </is>
      </c>
      <c r="G426" t="inlineStr">
        <is>
          <t>captured</t>
        </is>
      </c>
      <c r="H426" t="n">
        <v>58</v>
      </c>
      <c r="I426">
        <f>IFERROR(VLOOKUP(C426, Merchants!$A$2:$D$41, 2, FALSE), "Merchant not found")</f>
        <v/>
      </c>
      <c r="J426">
        <f>IFERROR(VLOOKUP(C426, Merchants!$A$2:$D$41, 3, FALSE), "Merchant not found")</f>
        <v/>
      </c>
      <c r="K426">
        <f>IFERROR(VLOOKUP(C426, Merchants!$A$2:$D$41, 4, FALSE), "Merchant not found")</f>
        <v/>
      </c>
      <c r="L426">
        <f>HLOOKUP(F426, Fee_Tiers!$B$1:$E$2, 2, FALSE)</f>
        <v/>
      </c>
      <c r="M426">
        <f>IF(AND(E426&gt;5000, K426&lt;&gt;"&gt;East"), "High-Value Merchant Day", "Standard")</f>
        <v/>
      </c>
    </row>
    <row r="427">
      <c r="A427" t="inlineStr">
        <is>
          <t>TXN100425</t>
        </is>
      </c>
      <c r="B427" t="n">
        <v>97</v>
      </c>
      <c r="C427" t="n">
        <v>8</v>
      </c>
      <c r="D427" t="inlineStr">
        <is>
          <t>2026-01-12 04:17:00</t>
        </is>
      </c>
      <c r="E427" t="n">
        <v>99</v>
      </c>
      <c r="F427" t="inlineStr">
        <is>
          <t>Netbanking</t>
        </is>
      </c>
      <c r="G427" t="inlineStr">
        <is>
          <t>captured</t>
        </is>
      </c>
      <c r="H427" t="n">
        <v>4</v>
      </c>
      <c r="I427">
        <f>IFERROR(VLOOKUP(C427, Merchants!$A$2:$D$41, 2, FALSE), "Merchant not found")</f>
        <v/>
      </c>
      <c r="J427">
        <f>IFERROR(VLOOKUP(C427, Merchants!$A$2:$D$41, 3, FALSE), "Merchant not found")</f>
        <v/>
      </c>
      <c r="K427">
        <f>IFERROR(VLOOKUP(C427, Merchants!$A$2:$D$41, 4, FALSE), "Merchant not found")</f>
        <v/>
      </c>
      <c r="L427">
        <f>HLOOKUP(F427, Fee_Tiers!$B$1:$E$2, 2, FALSE)</f>
        <v/>
      </c>
      <c r="M427">
        <f>IF(AND(E427&gt;5000, K427&lt;&gt;"&gt;East"), "High-Value Merchant Day", "Standard")</f>
        <v/>
      </c>
    </row>
    <row r="428">
      <c r="A428" t="inlineStr">
        <is>
          <t>TXN100426</t>
        </is>
      </c>
      <c r="B428" t="n">
        <v>315</v>
      </c>
      <c r="C428" t="n">
        <v>2</v>
      </c>
      <c r="D428" t="inlineStr">
        <is>
          <t>2026-01-26 21:26:00</t>
        </is>
      </c>
      <c r="E428" t="n">
        <v>299</v>
      </c>
      <c r="F428" t="inlineStr">
        <is>
          <t>Wallet</t>
        </is>
      </c>
      <c r="G428" t="inlineStr">
        <is>
          <t>captured</t>
        </is>
      </c>
      <c r="H428" t="n">
        <v>30</v>
      </c>
      <c r="I428">
        <f>IFERROR(VLOOKUP(C428, Merchants!$A$2:$D$41, 2, FALSE), "Merchant not found")</f>
        <v/>
      </c>
      <c r="J428">
        <f>IFERROR(VLOOKUP(C428, Merchants!$A$2:$D$41, 3, FALSE), "Merchant not found")</f>
        <v/>
      </c>
      <c r="K428">
        <f>IFERROR(VLOOKUP(C428, Merchants!$A$2:$D$41, 4, FALSE), "Merchant not found")</f>
        <v/>
      </c>
      <c r="L428">
        <f>HLOOKUP(F428, Fee_Tiers!$B$1:$E$2, 2, FALSE)</f>
        <v/>
      </c>
      <c r="M428">
        <f>IF(AND(E428&gt;5000, K428&lt;&gt;"&gt;East"), "High-Value Merchant Day", "Standard")</f>
        <v/>
      </c>
    </row>
    <row r="429">
      <c r="A429" t="inlineStr">
        <is>
          <t>TXN100427</t>
        </is>
      </c>
      <c r="B429" t="n">
        <v>305</v>
      </c>
      <c r="C429" t="n">
        <v>3</v>
      </c>
      <c r="D429" t="inlineStr">
        <is>
          <t>2026-01-07 02:06:00</t>
        </is>
      </c>
      <c r="E429" t="n">
        <v>299</v>
      </c>
      <c r="F429" t="inlineStr">
        <is>
          <t>UPI</t>
        </is>
      </c>
      <c r="G429" t="inlineStr">
        <is>
          <t>captured</t>
        </is>
      </c>
      <c r="H429" t="n">
        <v>57</v>
      </c>
      <c r="I429">
        <f>IFERROR(VLOOKUP(C429, Merchants!$A$2:$D$41, 2, FALSE), "Merchant not found")</f>
        <v/>
      </c>
      <c r="J429">
        <f>IFERROR(VLOOKUP(C429, Merchants!$A$2:$D$41, 3, FALSE), "Merchant not found")</f>
        <v/>
      </c>
      <c r="K429">
        <f>IFERROR(VLOOKUP(C429, Merchants!$A$2:$D$41, 4, FALSE), "Merchant not found")</f>
        <v/>
      </c>
      <c r="L429">
        <f>HLOOKUP(F429, Fee_Tiers!$B$1:$E$2, 2, FALSE)</f>
        <v/>
      </c>
      <c r="M429">
        <f>IF(AND(E429&gt;5000, K429&lt;&gt;"&gt;East"), "High-Value Merchant Day", "Standard")</f>
        <v/>
      </c>
    </row>
    <row r="430">
      <c r="A430" t="inlineStr">
        <is>
          <t>TXN100428</t>
        </is>
      </c>
      <c r="B430" t="n">
        <v>25</v>
      </c>
      <c r="C430" t="n">
        <v>16</v>
      </c>
      <c r="D430" t="inlineStr">
        <is>
          <t>2026-01-20 21:45:00</t>
        </is>
      </c>
      <c r="E430" t="n">
        <v>299</v>
      </c>
      <c r="F430" t="inlineStr">
        <is>
          <t>UPI</t>
        </is>
      </c>
      <c r="G430" t="inlineStr">
        <is>
          <t>captured</t>
        </is>
      </c>
      <c r="H430" t="n">
        <v>94</v>
      </c>
      <c r="I430">
        <f>IFERROR(VLOOKUP(C430, Merchants!$A$2:$D$41, 2, FALSE), "Merchant not found")</f>
        <v/>
      </c>
      <c r="J430">
        <f>IFERROR(VLOOKUP(C430, Merchants!$A$2:$D$41, 3, FALSE), "Merchant not found")</f>
        <v/>
      </c>
      <c r="K430">
        <f>IFERROR(VLOOKUP(C430, Merchants!$A$2:$D$41, 4, FALSE), "Merchant not found")</f>
        <v/>
      </c>
      <c r="L430">
        <f>HLOOKUP(F430, Fee_Tiers!$B$1:$E$2, 2, FALSE)</f>
        <v/>
      </c>
      <c r="M430">
        <f>IF(AND(E430&gt;5000, K430&lt;&gt;"&gt;East"), "High-Value Merchant Day", "Standard")</f>
        <v/>
      </c>
    </row>
    <row r="431">
      <c r="A431" t="inlineStr">
        <is>
          <t>TXN100429</t>
        </is>
      </c>
      <c r="B431" t="n">
        <v>120</v>
      </c>
      <c r="C431" t="n">
        <v>35</v>
      </c>
      <c r="D431" t="inlineStr">
        <is>
          <t>2026-01-02 12:28:00</t>
        </is>
      </c>
      <c r="E431" t="n">
        <v>49</v>
      </c>
      <c r="F431" t="inlineStr">
        <is>
          <t>UPI</t>
        </is>
      </c>
      <c r="G431" t="inlineStr">
        <is>
          <t>captured</t>
        </is>
      </c>
      <c r="H431" t="n">
        <v>27</v>
      </c>
      <c r="I431">
        <f>IFERROR(VLOOKUP(C431, Merchants!$A$2:$D$41, 2, FALSE), "Merchant not found")</f>
        <v/>
      </c>
      <c r="J431">
        <f>IFERROR(VLOOKUP(C431, Merchants!$A$2:$D$41, 3, FALSE), "Merchant not found")</f>
        <v/>
      </c>
      <c r="K431">
        <f>IFERROR(VLOOKUP(C431, Merchants!$A$2:$D$41, 4, FALSE), "Merchant not found")</f>
        <v/>
      </c>
      <c r="L431">
        <f>HLOOKUP(F431, Fee_Tiers!$B$1:$E$2, 2, FALSE)</f>
        <v/>
      </c>
      <c r="M431">
        <f>IF(AND(E431&gt;5000, K431&lt;&gt;"&gt;East"), "High-Value Merchant Day", "Standard")</f>
        <v/>
      </c>
    </row>
    <row r="432">
      <c r="A432" t="inlineStr">
        <is>
          <t>TXN100430</t>
        </is>
      </c>
      <c r="B432" t="n">
        <v>258</v>
      </c>
      <c r="C432" t="n">
        <v>19</v>
      </c>
      <c r="D432" t="inlineStr">
        <is>
          <t>2026-01-25 01:08:00</t>
        </is>
      </c>
      <c r="E432" t="n">
        <v>49</v>
      </c>
      <c r="F432" t="inlineStr">
        <is>
          <t>Wallet</t>
        </is>
      </c>
      <c r="G432" t="inlineStr">
        <is>
          <t>captured</t>
        </is>
      </c>
      <c r="H432" t="n">
        <v>29</v>
      </c>
      <c r="I432">
        <f>IFERROR(VLOOKUP(C432, Merchants!$A$2:$D$41, 2, FALSE), "Merchant not found")</f>
        <v/>
      </c>
      <c r="J432">
        <f>IFERROR(VLOOKUP(C432, Merchants!$A$2:$D$41, 3, FALSE), "Merchant not found")</f>
        <v/>
      </c>
      <c r="K432">
        <f>IFERROR(VLOOKUP(C432, Merchants!$A$2:$D$41, 4, FALSE), "Merchant not found")</f>
        <v/>
      </c>
      <c r="L432">
        <f>HLOOKUP(F432, Fee_Tiers!$B$1:$E$2, 2, FALSE)</f>
        <v/>
      </c>
      <c r="M432">
        <f>IF(AND(E432&gt;5000, K432&lt;&gt;"&gt;East"), "High-Value Merchant Day", "Standard")</f>
        <v/>
      </c>
    </row>
    <row r="433">
      <c r="A433" t="inlineStr">
        <is>
          <t>TXN100431</t>
        </is>
      </c>
      <c r="B433" t="n">
        <v>164</v>
      </c>
      <c r="C433" t="n">
        <v>37</v>
      </c>
      <c r="D433" t="inlineStr">
        <is>
          <t>2026-01-27 23:36:00</t>
        </is>
      </c>
      <c r="E433" t="n">
        <v>799</v>
      </c>
      <c r="F433" t="inlineStr">
        <is>
          <t>UPI</t>
        </is>
      </c>
      <c r="G433" t="inlineStr">
        <is>
          <t>captured</t>
        </is>
      </c>
      <c r="H433" t="n">
        <v>76</v>
      </c>
      <c r="I433">
        <f>IFERROR(VLOOKUP(C433, Merchants!$A$2:$D$41, 2, FALSE), "Merchant not found")</f>
        <v/>
      </c>
      <c r="J433">
        <f>IFERROR(VLOOKUP(C433, Merchants!$A$2:$D$41, 3, FALSE), "Merchant not found")</f>
        <v/>
      </c>
      <c r="K433">
        <f>IFERROR(VLOOKUP(C433, Merchants!$A$2:$D$41, 4, FALSE), "Merchant not found")</f>
        <v/>
      </c>
      <c r="L433">
        <f>HLOOKUP(F433, Fee_Tiers!$B$1:$E$2, 2, FALSE)</f>
        <v/>
      </c>
      <c r="M433">
        <f>IF(AND(E433&gt;5000, K433&lt;&gt;"&gt;East"), "High-Value Merchant Day", "Standard")</f>
        <v/>
      </c>
    </row>
    <row r="434">
      <c r="A434" t="inlineStr">
        <is>
          <t>TXN100432</t>
        </is>
      </c>
      <c r="B434" t="n">
        <v>165</v>
      </c>
      <c r="C434" t="n">
        <v>16</v>
      </c>
      <c r="D434" t="inlineStr">
        <is>
          <t>2026-01-25 21:52:00</t>
        </is>
      </c>
      <c r="E434" t="n">
        <v>49</v>
      </c>
      <c r="F434" t="inlineStr">
        <is>
          <t>Wallet</t>
        </is>
      </c>
      <c r="G434" t="inlineStr">
        <is>
          <t>captured</t>
        </is>
      </c>
      <c r="H434" t="n">
        <v>38</v>
      </c>
      <c r="I434">
        <f>IFERROR(VLOOKUP(C434, Merchants!$A$2:$D$41, 2, FALSE), "Merchant not found")</f>
        <v/>
      </c>
      <c r="J434">
        <f>IFERROR(VLOOKUP(C434, Merchants!$A$2:$D$41, 3, FALSE), "Merchant not found")</f>
        <v/>
      </c>
      <c r="K434">
        <f>IFERROR(VLOOKUP(C434, Merchants!$A$2:$D$41, 4, FALSE), "Merchant not found")</f>
        <v/>
      </c>
      <c r="L434">
        <f>HLOOKUP(F434, Fee_Tiers!$B$1:$E$2, 2, FALSE)</f>
        <v/>
      </c>
      <c r="M434">
        <f>IF(AND(E434&gt;5000, K434&lt;&gt;"&gt;East"), "High-Value Merchant Day", "Standard")</f>
        <v/>
      </c>
    </row>
    <row r="435">
      <c r="A435" t="inlineStr">
        <is>
          <t>TXN100433</t>
        </is>
      </c>
      <c r="B435" t="n">
        <v>267</v>
      </c>
      <c r="C435" t="n">
        <v>15</v>
      </c>
      <c r="D435" t="inlineStr">
        <is>
          <t>2026-01-29 04:42:00</t>
        </is>
      </c>
      <c r="E435" t="n">
        <v>49</v>
      </c>
      <c r="F435" t="inlineStr">
        <is>
          <t>Netbanking</t>
        </is>
      </c>
      <c r="G435" t="inlineStr">
        <is>
          <t>captured</t>
        </is>
      </c>
      <c r="H435" t="n">
        <v>52</v>
      </c>
      <c r="I435">
        <f>IFERROR(VLOOKUP(C435, Merchants!$A$2:$D$41, 2, FALSE), "Merchant not found")</f>
        <v/>
      </c>
      <c r="J435">
        <f>IFERROR(VLOOKUP(C435, Merchants!$A$2:$D$41, 3, FALSE), "Merchant not found")</f>
        <v/>
      </c>
      <c r="K435">
        <f>IFERROR(VLOOKUP(C435, Merchants!$A$2:$D$41, 4, FALSE), "Merchant not found")</f>
        <v/>
      </c>
      <c r="L435">
        <f>HLOOKUP(F435, Fee_Tiers!$B$1:$E$2, 2, FALSE)</f>
        <v/>
      </c>
      <c r="M435">
        <f>IF(AND(E435&gt;5000, K435&lt;&gt;"&gt;East"), "High-Value Merchant Day", "Standard")</f>
        <v/>
      </c>
    </row>
    <row r="436">
      <c r="A436" t="inlineStr">
        <is>
          <t>TXN100434</t>
        </is>
      </c>
      <c r="B436" t="n">
        <v>286</v>
      </c>
      <c r="C436" t="n">
        <v>38</v>
      </c>
      <c r="D436" t="inlineStr">
        <is>
          <t>2026-01-10 08:03:00</t>
        </is>
      </c>
      <c r="E436" t="n">
        <v>299</v>
      </c>
      <c r="F436" t="inlineStr">
        <is>
          <t>Wallet</t>
        </is>
      </c>
      <c r="G436" t="inlineStr">
        <is>
          <t>captured</t>
        </is>
      </c>
      <c r="H436" t="n">
        <v>94</v>
      </c>
      <c r="I436">
        <f>IFERROR(VLOOKUP(C436, Merchants!$A$2:$D$41, 2, FALSE), "Merchant not found")</f>
        <v/>
      </c>
      <c r="J436">
        <f>IFERROR(VLOOKUP(C436, Merchants!$A$2:$D$41, 3, FALSE), "Merchant not found")</f>
        <v/>
      </c>
      <c r="K436">
        <f>IFERROR(VLOOKUP(C436, Merchants!$A$2:$D$41, 4, FALSE), "Merchant not found")</f>
        <v/>
      </c>
      <c r="L436">
        <f>HLOOKUP(F436, Fee_Tiers!$B$1:$E$2, 2, FALSE)</f>
        <v/>
      </c>
      <c r="M436">
        <f>IF(AND(E436&gt;5000, K436&lt;&gt;"&gt;East"), "High-Value Merchant Day", "Standard")</f>
        <v/>
      </c>
    </row>
    <row r="437">
      <c r="A437" t="inlineStr">
        <is>
          <t>TXN100435</t>
        </is>
      </c>
      <c r="B437" t="n">
        <v>348</v>
      </c>
      <c r="C437" t="n">
        <v>28</v>
      </c>
      <c r="D437" t="inlineStr">
        <is>
          <t>2026-01-30 05:40:00</t>
        </is>
      </c>
      <c r="E437" t="n">
        <v>499</v>
      </c>
      <c r="F437" t="inlineStr">
        <is>
          <t>Card</t>
        </is>
      </c>
      <c r="G437" t="inlineStr">
        <is>
          <t>captured</t>
        </is>
      </c>
      <c r="H437" t="n">
        <v>71</v>
      </c>
      <c r="I437">
        <f>IFERROR(VLOOKUP(C437, Merchants!$A$2:$D$41, 2, FALSE), "Merchant not found")</f>
        <v/>
      </c>
      <c r="J437">
        <f>IFERROR(VLOOKUP(C437, Merchants!$A$2:$D$41, 3, FALSE), "Merchant not found")</f>
        <v/>
      </c>
      <c r="K437">
        <f>IFERROR(VLOOKUP(C437, Merchants!$A$2:$D$41, 4, FALSE), "Merchant not found")</f>
        <v/>
      </c>
      <c r="L437">
        <f>HLOOKUP(F437, Fee_Tiers!$B$1:$E$2, 2, FALSE)</f>
        <v/>
      </c>
      <c r="M437">
        <f>IF(AND(E437&gt;5000, K437&lt;&gt;"&gt;East"), "High-Value Merchant Day", "Standard")</f>
        <v/>
      </c>
    </row>
    <row r="438">
      <c r="A438" t="inlineStr">
        <is>
          <t>TXN100436</t>
        </is>
      </c>
      <c r="B438" t="n">
        <v>330</v>
      </c>
      <c r="C438" t="n">
        <v>25</v>
      </c>
      <c r="D438" t="inlineStr">
        <is>
          <t>2026-01-16 01:22:00</t>
        </is>
      </c>
      <c r="E438" t="n">
        <v>799</v>
      </c>
      <c r="F438" t="inlineStr">
        <is>
          <t>UPI</t>
        </is>
      </c>
      <c r="G438" t="inlineStr">
        <is>
          <t>captured</t>
        </is>
      </c>
      <c r="H438" t="n">
        <v>100</v>
      </c>
      <c r="I438">
        <f>IFERROR(VLOOKUP(C438, Merchants!$A$2:$D$41, 2, FALSE), "Merchant not found")</f>
        <v/>
      </c>
      <c r="J438">
        <f>IFERROR(VLOOKUP(C438, Merchants!$A$2:$D$41, 3, FALSE), "Merchant not found")</f>
        <v/>
      </c>
      <c r="K438">
        <f>IFERROR(VLOOKUP(C438, Merchants!$A$2:$D$41, 4, FALSE), "Merchant not found")</f>
        <v/>
      </c>
      <c r="L438">
        <f>HLOOKUP(F438, Fee_Tiers!$B$1:$E$2, 2, FALSE)</f>
        <v/>
      </c>
      <c r="M438">
        <f>IF(AND(E438&gt;5000, K438&lt;&gt;"&gt;East"), "High-Value Merchant Day", "Standard")</f>
        <v/>
      </c>
    </row>
    <row r="439">
      <c r="A439" t="inlineStr">
        <is>
          <t>TXN100437</t>
        </is>
      </c>
      <c r="B439" t="n">
        <v>214</v>
      </c>
      <c r="C439" t="n">
        <v>27</v>
      </c>
      <c r="D439" t="inlineStr">
        <is>
          <t>2026-01-17 10:44:00</t>
        </is>
      </c>
      <c r="E439" t="n">
        <v>299</v>
      </c>
      <c r="F439" t="inlineStr">
        <is>
          <t>Card</t>
        </is>
      </c>
      <c r="G439" t="inlineStr">
        <is>
          <t>captured</t>
        </is>
      </c>
      <c r="H439" t="n">
        <v>19</v>
      </c>
      <c r="I439">
        <f>IFERROR(VLOOKUP(C439, Merchants!$A$2:$D$41, 2, FALSE), "Merchant not found")</f>
        <v/>
      </c>
      <c r="J439">
        <f>IFERROR(VLOOKUP(C439, Merchants!$A$2:$D$41, 3, FALSE), "Merchant not found")</f>
        <v/>
      </c>
      <c r="K439">
        <f>IFERROR(VLOOKUP(C439, Merchants!$A$2:$D$41, 4, FALSE), "Merchant not found")</f>
        <v/>
      </c>
      <c r="L439">
        <f>HLOOKUP(F439, Fee_Tiers!$B$1:$E$2, 2, FALSE)</f>
        <v/>
      </c>
      <c r="M439">
        <f>IF(AND(E439&gt;5000, K439&lt;&gt;"&gt;East"), "High-Value Merchant Day", "Standard")</f>
        <v/>
      </c>
    </row>
    <row r="440">
      <c r="A440" t="inlineStr">
        <is>
          <t>TXN100438</t>
        </is>
      </c>
      <c r="B440" t="n">
        <v>276</v>
      </c>
      <c r="C440" t="n">
        <v>31</v>
      </c>
      <c r="D440" t="inlineStr">
        <is>
          <t>2026-01-10 12:11:00</t>
        </is>
      </c>
      <c r="E440" t="n">
        <v>499</v>
      </c>
      <c r="F440" t="inlineStr">
        <is>
          <t>UPI</t>
        </is>
      </c>
      <c r="G440" t="inlineStr">
        <is>
          <t>captured</t>
        </is>
      </c>
      <c r="H440" t="n">
        <v>30</v>
      </c>
      <c r="I440">
        <f>IFERROR(VLOOKUP(C440, Merchants!$A$2:$D$41, 2, FALSE), "Merchant not found")</f>
        <v/>
      </c>
      <c r="J440">
        <f>IFERROR(VLOOKUP(C440, Merchants!$A$2:$D$41, 3, FALSE), "Merchant not found")</f>
        <v/>
      </c>
      <c r="K440">
        <f>IFERROR(VLOOKUP(C440, Merchants!$A$2:$D$41, 4, FALSE), "Merchant not found")</f>
        <v/>
      </c>
      <c r="L440">
        <f>HLOOKUP(F440, Fee_Tiers!$B$1:$E$2, 2, FALSE)</f>
        <v/>
      </c>
      <c r="M440">
        <f>IF(AND(E440&gt;5000, K440&lt;&gt;"&gt;East"), "High-Value Merchant Day", "Standard")</f>
        <v/>
      </c>
    </row>
    <row r="441">
      <c r="A441" t="inlineStr">
        <is>
          <t>TXN100439</t>
        </is>
      </c>
      <c r="B441" t="n">
        <v>74</v>
      </c>
      <c r="C441" t="n">
        <v>30</v>
      </c>
      <c r="D441" t="inlineStr">
        <is>
          <t>2026-01-28 07:19:00</t>
        </is>
      </c>
      <c r="E441" t="n">
        <v>49</v>
      </c>
      <c r="F441" t="inlineStr">
        <is>
          <t>UPI</t>
        </is>
      </c>
      <c r="G441" t="inlineStr">
        <is>
          <t>captured</t>
        </is>
      </c>
      <c r="H441" t="n">
        <v>7</v>
      </c>
      <c r="I441">
        <f>IFERROR(VLOOKUP(C441, Merchants!$A$2:$D$41, 2, FALSE), "Merchant not found")</f>
        <v/>
      </c>
      <c r="J441">
        <f>IFERROR(VLOOKUP(C441, Merchants!$A$2:$D$41, 3, FALSE), "Merchant not found")</f>
        <v/>
      </c>
      <c r="K441">
        <f>IFERROR(VLOOKUP(C441, Merchants!$A$2:$D$41, 4, FALSE), "Merchant not found")</f>
        <v/>
      </c>
      <c r="L441">
        <f>HLOOKUP(F441, Fee_Tiers!$B$1:$E$2, 2, FALSE)</f>
        <v/>
      </c>
      <c r="M441">
        <f>IF(AND(E441&gt;5000, K441&lt;&gt;"&gt;East"), "High-Value Merchant Day", "Standard")</f>
        <v/>
      </c>
    </row>
    <row r="442">
      <c r="A442" t="inlineStr">
        <is>
          <t>TXN100440</t>
        </is>
      </c>
      <c r="B442" t="n">
        <v>286</v>
      </c>
      <c r="C442" t="n">
        <v>34</v>
      </c>
      <c r="D442" t="inlineStr">
        <is>
          <t>2026-01-18 13:26:00</t>
        </is>
      </c>
      <c r="E442" t="n">
        <v>49</v>
      </c>
      <c r="F442" t="inlineStr">
        <is>
          <t>Card</t>
        </is>
      </c>
      <c r="G442" t="inlineStr">
        <is>
          <t>captured</t>
        </is>
      </c>
      <c r="H442" t="n">
        <v>17</v>
      </c>
      <c r="I442">
        <f>IFERROR(VLOOKUP(C442, Merchants!$A$2:$D$41, 2, FALSE), "Merchant not found")</f>
        <v/>
      </c>
      <c r="J442">
        <f>IFERROR(VLOOKUP(C442, Merchants!$A$2:$D$41, 3, FALSE), "Merchant not found")</f>
        <v/>
      </c>
      <c r="K442">
        <f>IFERROR(VLOOKUP(C442, Merchants!$A$2:$D$41, 4, FALSE), "Merchant not found")</f>
        <v/>
      </c>
      <c r="L442">
        <f>HLOOKUP(F442, Fee_Tiers!$B$1:$E$2, 2, FALSE)</f>
        <v/>
      </c>
      <c r="M442">
        <f>IF(AND(E442&gt;5000, K442&lt;&gt;"&gt;East"), "High-Value Merchant Day", "Standard")</f>
        <v/>
      </c>
    </row>
    <row r="443">
      <c r="A443" t="inlineStr">
        <is>
          <t>TXN100441</t>
        </is>
      </c>
      <c r="B443" t="n">
        <v>105</v>
      </c>
      <c r="C443" t="n">
        <v>22</v>
      </c>
      <c r="D443" t="inlineStr">
        <is>
          <t>2026-01-13 07:16:00</t>
        </is>
      </c>
      <c r="E443" t="n">
        <v>4999</v>
      </c>
      <c r="F443" t="inlineStr">
        <is>
          <t>UPI</t>
        </is>
      </c>
      <c r="G443" t="inlineStr">
        <is>
          <t>captured</t>
        </is>
      </c>
      <c r="H443" t="n">
        <v>82</v>
      </c>
      <c r="I443">
        <f>IFERROR(VLOOKUP(C443, Merchants!$A$2:$D$41, 2, FALSE), "Merchant not found")</f>
        <v/>
      </c>
      <c r="J443">
        <f>IFERROR(VLOOKUP(C443, Merchants!$A$2:$D$41, 3, FALSE), "Merchant not found")</f>
        <v/>
      </c>
      <c r="K443">
        <f>IFERROR(VLOOKUP(C443, Merchants!$A$2:$D$41, 4, FALSE), "Merchant not found")</f>
        <v/>
      </c>
      <c r="L443">
        <f>HLOOKUP(F443, Fee_Tiers!$B$1:$E$2, 2, FALSE)</f>
        <v/>
      </c>
      <c r="M443">
        <f>IF(AND(E443&gt;5000, K443&lt;&gt;"&gt;East"), "High-Value Merchant Day", "Standard")</f>
        <v/>
      </c>
    </row>
    <row r="444">
      <c r="A444" t="inlineStr">
        <is>
          <t>TXN100442</t>
        </is>
      </c>
      <c r="B444" t="n">
        <v>190</v>
      </c>
      <c r="C444" t="n">
        <v>6</v>
      </c>
      <c r="D444" t="inlineStr">
        <is>
          <t>2026-01-03 14:54:00</t>
        </is>
      </c>
      <c r="E444" t="n">
        <v>799</v>
      </c>
      <c r="F444" t="inlineStr">
        <is>
          <t>Wallet</t>
        </is>
      </c>
      <c r="G444" t="inlineStr">
        <is>
          <t>captured</t>
        </is>
      </c>
      <c r="H444" t="n">
        <v>68</v>
      </c>
      <c r="I444">
        <f>IFERROR(VLOOKUP(C444, Merchants!$A$2:$D$41, 2, FALSE), "Merchant not found")</f>
        <v/>
      </c>
      <c r="J444">
        <f>IFERROR(VLOOKUP(C444, Merchants!$A$2:$D$41, 3, FALSE), "Merchant not found")</f>
        <v/>
      </c>
      <c r="K444">
        <f>IFERROR(VLOOKUP(C444, Merchants!$A$2:$D$41, 4, FALSE), "Merchant not found")</f>
        <v/>
      </c>
      <c r="L444">
        <f>HLOOKUP(F444, Fee_Tiers!$B$1:$E$2, 2, FALSE)</f>
        <v/>
      </c>
      <c r="M444">
        <f>IF(AND(E444&gt;5000, K444&lt;&gt;"&gt;East"), "High-Value Merchant Day", "Standard")</f>
        <v/>
      </c>
    </row>
    <row r="445">
      <c r="A445" t="inlineStr">
        <is>
          <t>TXN100443</t>
        </is>
      </c>
      <c r="B445" t="n">
        <v>138</v>
      </c>
      <c r="C445" t="n">
        <v>25</v>
      </c>
      <c r="D445" t="inlineStr">
        <is>
          <t>2026-01-24 06:03:00</t>
        </is>
      </c>
      <c r="E445" t="n">
        <v>299</v>
      </c>
      <c r="F445" t="inlineStr">
        <is>
          <t>Wallet</t>
        </is>
      </c>
      <c r="G445" t="inlineStr">
        <is>
          <t>captured</t>
        </is>
      </c>
      <c r="H445" t="n">
        <v>86</v>
      </c>
      <c r="I445">
        <f>IFERROR(VLOOKUP(C445, Merchants!$A$2:$D$41, 2, FALSE), "Merchant not found")</f>
        <v/>
      </c>
      <c r="J445">
        <f>IFERROR(VLOOKUP(C445, Merchants!$A$2:$D$41, 3, FALSE), "Merchant not found")</f>
        <v/>
      </c>
      <c r="K445">
        <f>IFERROR(VLOOKUP(C445, Merchants!$A$2:$D$41, 4, FALSE), "Merchant not found")</f>
        <v/>
      </c>
      <c r="L445">
        <f>HLOOKUP(F445, Fee_Tiers!$B$1:$E$2, 2, FALSE)</f>
        <v/>
      </c>
      <c r="M445">
        <f>IF(AND(E445&gt;5000, K445&lt;&gt;"&gt;East"), "High-Value Merchant Day", "Standard")</f>
        <v/>
      </c>
    </row>
    <row r="446">
      <c r="A446" t="inlineStr">
        <is>
          <t>TXN100444</t>
        </is>
      </c>
      <c r="B446" t="n">
        <v>38</v>
      </c>
      <c r="C446" t="n">
        <v>13</v>
      </c>
      <c r="D446" t="inlineStr">
        <is>
          <t>2026-01-20 19:02:00</t>
        </is>
      </c>
      <c r="E446" t="n">
        <v>4999</v>
      </c>
      <c r="F446" t="inlineStr">
        <is>
          <t>Netbanking</t>
        </is>
      </c>
      <c r="G446" t="inlineStr">
        <is>
          <t>captured</t>
        </is>
      </c>
      <c r="H446" t="n">
        <v>97</v>
      </c>
      <c r="I446">
        <f>IFERROR(VLOOKUP(C446, Merchants!$A$2:$D$41, 2, FALSE), "Merchant not found")</f>
        <v/>
      </c>
      <c r="J446">
        <f>IFERROR(VLOOKUP(C446, Merchants!$A$2:$D$41, 3, FALSE), "Merchant not found")</f>
        <v/>
      </c>
      <c r="K446">
        <f>IFERROR(VLOOKUP(C446, Merchants!$A$2:$D$41, 4, FALSE), "Merchant not found")</f>
        <v/>
      </c>
      <c r="L446">
        <f>HLOOKUP(F446, Fee_Tiers!$B$1:$E$2, 2, FALSE)</f>
        <v/>
      </c>
      <c r="M446">
        <f>IF(AND(E446&gt;5000, K446&lt;&gt;"&gt;East"), "High-Value Merchant Day", "Standard")</f>
        <v/>
      </c>
    </row>
    <row r="447">
      <c r="A447" t="inlineStr">
        <is>
          <t>TXN100445</t>
        </is>
      </c>
      <c r="B447" t="n">
        <v>287</v>
      </c>
      <c r="C447" t="n">
        <v>14</v>
      </c>
      <c r="D447" t="inlineStr">
        <is>
          <t>2026-01-19 23:42:00</t>
        </is>
      </c>
      <c r="E447" t="n">
        <v>99</v>
      </c>
      <c r="F447" t="inlineStr">
        <is>
          <t>Wallet</t>
        </is>
      </c>
      <c r="G447" t="inlineStr">
        <is>
          <t>captured</t>
        </is>
      </c>
      <c r="H447" t="n">
        <v>61</v>
      </c>
      <c r="I447">
        <f>IFERROR(VLOOKUP(C447, Merchants!$A$2:$D$41, 2, FALSE), "Merchant not found")</f>
        <v/>
      </c>
      <c r="J447">
        <f>IFERROR(VLOOKUP(C447, Merchants!$A$2:$D$41, 3, FALSE), "Merchant not found")</f>
        <v/>
      </c>
      <c r="K447">
        <f>IFERROR(VLOOKUP(C447, Merchants!$A$2:$D$41, 4, FALSE), "Merchant not found")</f>
        <v/>
      </c>
      <c r="L447">
        <f>HLOOKUP(F447, Fee_Tiers!$B$1:$E$2, 2, FALSE)</f>
        <v/>
      </c>
      <c r="M447">
        <f>IF(AND(E447&gt;5000, K447&lt;&gt;"&gt;East"), "High-Value Merchant Day", "Standard")</f>
        <v/>
      </c>
    </row>
    <row r="448">
      <c r="A448" t="inlineStr">
        <is>
          <t>TXN100446</t>
        </is>
      </c>
      <c r="B448" t="n">
        <v>8</v>
      </c>
      <c r="C448" t="n">
        <v>14</v>
      </c>
      <c r="D448" t="inlineStr">
        <is>
          <t>2026-01-07 10:19:00</t>
        </is>
      </c>
      <c r="E448" t="n">
        <v>49</v>
      </c>
      <c r="F448" t="inlineStr">
        <is>
          <t>UPI</t>
        </is>
      </c>
      <c r="G448" t="inlineStr">
        <is>
          <t>captured</t>
        </is>
      </c>
      <c r="H448" t="n">
        <v>24</v>
      </c>
      <c r="I448">
        <f>IFERROR(VLOOKUP(C448, Merchants!$A$2:$D$41, 2, FALSE), "Merchant not found")</f>
        <v/>
      </c>
      <c r="J448">
        <f>IFERROR(VLOOKUP(C448, Merchants!$A$2:$D$41, 3, FALSE), "Merchant not found")</f>
        <v/>
      </c>
      <c r="K448">
        <f>IFERROR(VLOOKUP(C448, Merchants!$A$2:$D$41, 4, FALSE), "Merchant not found")</f>
        <v/>
      </c>
      <c r="L448">
        <f>HLOOKUP(F448, Fee_Tiers!$B$1:$E$2, 2, FALSE)</f>
        <v/>
      </c>
      <c r="M448">
        <f>IF(AND(E448&gt;5000, K448&lt;&gt;"&gt;East"), "High-Value Merchant Day", "Standard")</f>
        <v/>
      </c>
    </row>
    <row r="449">
      <c r="A449" t="inlineStr">
        <is>
          <t>TXN100447</t>
        </is>
      </c>
      <c r="B449" t="n">
        <v>246</v>
      </c>
      <c r="C449" t="n">
        <v>16</v>
      </c>
      <c r="D449" t="inlineStr">
        <is>
          <t>2026-01-24 03:47:00</t>
        </is>
      </c>
      <c r="E449" t="n">
        <v>1499</v>
      </c>
      <c r="F449" t="inlineStr">
        <is>
          <t>Wallet</t>
        </is>
      </c>
      <c r="G449" t="inlineStr">
        <is>
          <t>captured</t>
        </is>
      </c>
      <c r="H449" t="n">
        <v>89</v>
      </c>
      <c r="I449">
        <f>IFERROR(VLOOKUP(C449, Merchants!$A$2:$D$41, 2, FALSE), "Merchant not found")</f>
        <v/>
      </c>
      <c r="J449">
        <f>IFERROR(VLOOKUP(C449, Merchants!$A$2:$D$41, 3, FALSE), "Merchant not found")</f>
        <v/>
      </c>
      <c r="K449">
        <f>IFERROR(VLOOKUP(C449, Merchants!$A$2:$D$41, 4, FALSE), "Merchant not found")</f>
        <v/>
      </c>
      <c r="L449">
        <f>HLOOKUP(F449, Fee_Tiers!$B$1:$E$2, 2, FALSE)</f>
        <v/>
      </c>
      <c r="M449">
        <f>IF(AND(E449&gt;5000, K449&lt;&gt;"&gt;East"), "High-Value Merchant Day", "Standard")</f>
        <v/>
      </c>
    </row>
    <row r="450">
      <c r="A450" t="inlineStr">
        <is>
          <t>TXN100448</t>
        </is>
      </c>
      <c r="B450" t="n">
        <v>204</v>
      </c>
      <c r="C450" t="n">
        <v>16</v>
      </c>
      <c r="D450" t="inlineStr">
        <is>
          <t>2026-01-20 22:13:00</t>
        </is>
      </c>
      <c r="E450" t="n">
        <v>149</v>
      </c>
      <c r="F450" t="inlineStr">
        <is>
          <t>UPI</t>
        </is>
      </c>
      <c r="G450" t="inlineStr">
        <is>
          <t>captured</t>
        </is>
      </c>
      <c r="H450" t="n">
        <v>70</v>
      </c>
      <c r="I450">
        <f>IFERROR(VLOOKUP(C450, Merchants!$A$2:$D$41, 2, FALSE), "Merchant not found")</f>
        <v/>
      </c>
      <c r="J450">
        <f>IFERROR(VLOOKUP(C450, Merchants!$A$2:$D$41, 3, FALSE), "Merchant not found")</f>
        <v/>
      </c>
      <c r="K450">
        <f>IFERROR(VLOOKUP(C450, Merchants!$A$2:$D$41, 4, FALSE), "Merchant not found")</f>
        <v/>
      </c>
      <c r="L450">
        <f>HLOOKUP(F450, Fee_Tiers!$B$1:$E$2, 2, FALSE)</f>
        <v/>
      </c>
      <c r="M450">
        <f>IF(AND(E450&gt;5000, K450&lt;&gt;"&gt;East"), "High-Value Merchant Day", "Standard")</f>
        <v/>
      </c>
    </row>
    <row r="451">
      <c r="A451" t="inlineStr">
        <is>
          <t>TXN100449</t>
        </is>
      </c>
      <c r="B451" t="n">
        <v>239</v>
      </c>
      <c r="C451" t="n">
        <v>35</v>
      </c>
      <c r="D451" t="inlineStr">
        <is>
          <t>2026-01-11 09:24:00</t>
        </is>
      </c>
      <c r="E451" t="n">
        <v>4999</v>
      </c>
      <c r="F451" t="inlineStr">
        <is>
          <t>UPI</t>
        </is>
      </c>
      <c r="G451" t="inlineStr">
        <is>
          <t>captured</t>
        </is>
      </c>
      <c r="H451" t="n">
        <v>83</v>
      </c>
      <c r="I451">
        <f>IFERROR(VLOOKUP(C451, Merchants!$A$2:$D$41, 2, FALSE), "Merchant not found")</f>
        <v/>
      </c>
      <c r="J451">
        <f>IFERROR(VLOOKUP(C451, Merchants!$A$2:$D$41, 3, FALSE), "Merchant not found")</f>
        <v/>
      </c>
      <c r="K451">
        <f>IFERROR(VLOOKUP(C451, Merchants!$A$2:$D$41, 4, FALSE), "Merchant not found")</f>
        <v/>
      </c>
      <c r="L451">
        <f>HLOOKUP(F451, Fee_Tiers!$B$1:$E$2, 2, FALSE)</f>
        <v/>
      </c>
      <c r="M451">
        <f>IF(AND(E451&gt;5000, K451&lt;&gt;"&gt;East"), "High-Value Merchant Day", "Standard")</f>
        <v/>
      </c>
    </row>
    <row r="452">
      <c r="A452" t="inlineStr">
        <is>
          <t>TXN100450</t>
        </is>
      </c>
      <c r="B452" t="n">
        <v>185</v>
      </c>
      <c r="C452" t="n">
        <v>33</v>
      </c>
      <c r="D452" t="inlineStr">
        <is>
          <t>2026-01-12 09:16:00</t>
        </is>
      </c>
      <c r="E452" t="n">
        <v>299</v>
      </c>
      <c r="F452" t="inlineStr">
        <is>
          <t>UPI</t>
        </is>
      </c>
      <c r="G452" t="inlineStr">
        <is>
          <t>captured</t>
        </is>
      </c>
      <c r="H452" t="n">
        <v>63</v>
      </c>
      <c r="I452">
        <f>IFERROR(VLOOKUP(C452, Merchants!$A$2:$D$41, 2, FALSE), "Merchant not found")</f>
        <v/>
      </c>
      <c r="J452">
        <f>IFERROR(VLOOKUP(C452, Merchants!$A$2:$D$41, 3, FALSE), "Merchant not found")</f>
        <v/>
      </c>
      <c r="K452">
        <f>IFERROR(VLOOKUP(C452, Merchants!$A$2:$D$41, 4, FALSE), "Merchant not found")</f>
        <v/>
      </c>
      <c r="L452">
        <f>HLOOKUP(F452, Fee_Tiers!$B$1:$E$2, 2, FALSE)</f>
        <v/>
      </c>
      <c r="M452">
        <f>IF(AND(E452&gt;5000, K452&lt;&gt;"&gt;East"), "High-Value Merchant Day", "Standard")</f>
        <v/>
      </c>
    </row>
    <row r="453">
      <c r="A453" t="inlineStr">
        <is>
          <t>TXN100451</t>
        </is>
      </c>
      <c r="B453" t="n">
        <v>241</v>
      </c>
      <c r="C453" t="n">
        <v>21</v>
      </c>
      <c r="D453" t="inlineStr">
        <is>
          <t>2026-01-15 03:51:00</t>
        </is>
      </c>
      <c r="E453" t="n">
        <v>299</v>
      </c>
      <c r="F453" t="inlineStr">
        <is>
          <t>Card</t>
        </is>
      </c>
      <c r="G453" t="inlineStr">
        <is>
          <t>captured</t>
        </is>
      </c>
      <c r="H453" t="n">
        <v>26</v>
      </c>
      <c r="I453">
        <f>IFERROR(VLOOKUP(C453, Merchants!$A$2:$D$41, 2, FALSE), "Merchant not found")</f>
        <v/>
      </c>
      <c r="J453">
        <f>IFERROR(VLOOKUP(C453, Merchants!$A$2:$D$41, 3, FALSE), "Merchant not found")</f>
        <v/>
      </c>
      <c r="K453">
        <f>IFERROR(VLOOKUP(C453, Merchants!$A$2:$D$41, 4, FALSE), "Merchant not found")</f>
        <v/>
      </c>
      <c r="L453">
        <f>HLOOKUP(F453, Fee_Tiers!$B$1:$E$2, 2, FALSE)</f>
        <v/>
      </c>
      <c r="M453">
        <f>IF(AND(E453&gt;5000, K453&lt;&gt;"&gt;East"), "High-Value Merchant Day", "Standard")</f>
        <v/>
      </c>
    </row>
    <row r="454">
      <c r="A454" t="inlineStr">
        <is>
          <t>TXN100452</t>
        </is>
      </c>
      <c r="B454" t="n">
        <v>24</v>
      </c>
      <c r="C454" t="n">
        <v>37</v>
      </c>
      <c r="D454" t="inlineStr">
        <is>
          <t>2026-01-12 10:26:00</t>
        </is>
      </c>
      <c r="E454" t="n">
        <v>149</v>
      </c>
      <c r="F454" t="inlineStr">
        <is>
          <t>UPI</t>
        </is>
      </c>
      <c r="G454" t="inlineStr">
        <is>
          <t>captured</t>
        </is>
      </c>
      <c r="H454" t="n">
        <v>28</v>
      </c>
      <c r="I454">
        <f>IFERROR(VLOOKUP(C454, Merchants!$A$2:$D$41, 2, FALSE), "Merchant not found")</f>
        <v/>
      </c>
      <c r="J454">
        <f>IFERROR(VLOOKUP(C454, Merchants!$A$2:$D$41, 3, FALSE), "Merchant not found")</f>
        <v/>
      </c>
      <c r="K454">
        <f>IFERROR(VLOOKUP(C454, Merchants!$A$2:$D$41, 4, FALSE), "Merchant not found")</f>
        <v/>
      </c>
      <c r="L454">
        <f>HLOOKUP(F454, Fee_Tiers!$B$1:$E$2, 2, FALSE)</f>
        <v/>
      </c>
      <c r="M454">
        <f>IF(AND(E454&gt;5000, K454&lt;&gt;"&gt;East"), "High-Value Merchant Day", "Standard")</f>
        <v/>
      </c>
    </row>
    <row r="455">
      <c r="A455" t="inlineStr">
        <is>
          <t>TXN100453</t>
        </is>
      </c>
      <c r="B455" t="n">
        <v>134</v>
      </c>
      <c r="C455" t="n">
        <v>36</v>
      </c>
      <c r="D455" t="inlineStr">
        <is>
          <t>2026-01-24 04:01:00</t>
        </is>
      </c>
      <c r="E455" t="n">
        <v>1499</v>
      </c>
      <c r="F455" t="inlineStr">
        <is>
          <t>UPI</t>
        </is>
      </c>
      <c r="G455" t="inlineStr">
        <is>
          <t>captured</t>
        </is>
      </c>
      <c r="H455" t="n">
        <v>74</v>
      </c>
      <c r="I455">
        <f>IFERROR(VLOOKUP(C455, Merchants!$A$2:$D$41, 2, FALSE), "Merchant not found")</f>
        <v/>
      </c>
      <c r="J455">
        <f>IFERROR(VLOOKUP(C455, Merchants!$A$2:$D$41, 3, FALSE), "Merchant not found")</f>
        <v/>
      </c>
      <c r="K455">
        <f>IFERROR(VLOOKUP(C455, Merchants!$A$2:$D$41, 4, FALSE), "Merchant not found")</f>
        <v/>
      </c>
      <c r="L455">
        <f>HLOOKUP(F455, Fee_Tiers!$B$1:$E$2, 2, FALSE)</f>
        <v/>
      </c>
      <c r="M455">
        <f>IF(AND(E455&gt;5000, K455&lt;&gt;"&gt;East"), "High-Value Merchant Day", "Standard")</f>
        <v/>
      </c>
    </row>
    <row r="456">
      <c r="A456" t="inlineStr">
        <is>
          <t>TXN100454</t>
        </is>
      </c>
      <c r="B456" t="n">
        <v>152</v>
      </c>
      <c r="C456" t="n">
        <v>10</v>
      </c>
      <c r="D456" t="inlineStr">
        <is>
          <t>2026-01-19 23:26:00</t>
        </is>
      </c>
      <c r="E456" t="n">
        <v>499</v>
      </c>
      <c r="F456" t="inlineStr">
        <is>
          <t>Wallet</t>
        </is>
      </c>
      <c r="G456" t="inlineStr">
        <is>
          <t>captured</t>
        </is>
      </c>
      <c r="H456" t="n">
        <v>25</v>
      </c>
      <c r="I456">
        <f>IFERROR(VLOOKUP(C456, Merchants!$A$2:$D$41, 2, FALSE), "Merchant not found")</f>
        <v/>
      </c>
      <c r="J456">
        <f>IFERROR(VLOOKUP(C456, Merchants!$A$2:$D$41, 3, FALSE), "Merchant not found")</f>
        <v/>
      </c>
      <c r="K456">
        <f>IFERROR(VLOOKUP(C456, Merchants!$A$2:$D$41, 4, FALSE), "Merchant not found")</f>
        <v/>
      </c>
      <c r="L456">
        <f>HLOOKUP(F456, Fee_Tiers!$B$1:$E$2, 2, FALSE)</f>
        <v/>
      </c>
      <c r="M456">
        <f>IF(AND(E456&gt;5000, K456&lt;&gt;"&gt;East"), "High-Value Merchant Day", "Standard")</f>
        <v/>
      </c>
    </row>
    <row r="457">
      <c r="A457" t="inlineStr">
        <is>
          <t>TXN100455</t>
        </is>
      </c>
      <c r="B457" t="n">
        <v>292</v>
      </c>
      <c r="C457" t="n">
        <v>16</v>
      </c>
      <c r="D457" t="inlineStr">
        <is>
          <t>2026-01-11 07:24:00</t>
        </is>
      </c>
      <c r="E457" t="n">
        <v>499</v>
      </c>
      <c r="F457" t="inlineStr">
        <is>
          <t>Netbanking</t>
        </is>
      </c>
      <c r="G457" t="inlineStr">
        <is>
          <t>captured</t>
        </is>
      </c>
      <c r="H457" t="n">
        <v>63</v>
      </c>
      <c r="I457">
        <f>IFERROR(VLOOKUP(C457, Merchants!$A$2:$D$41, 2, FALSE), "Merchant not found")</f>
        <v/>
      </c>
      <c r="J457">
        <f>IFERROR(VLOOKUP(C457, Merchants!$A$2:$D$41, 3, FALSE), "Merchant not found")</f>
        <v/>
      </c>
      <c r="K457">
        <f>IFERROR(VLOOKUP(C457, Merchants!$A$2:$D$41, 4, FALSE), "Merchant not found")</f>
        <v/>
      </c>
      <c r="L457">
        <f>HLOOKUP(F457, Fee_Tiers!$B$1:$E$2, 2, FALSE)</f>
        <v/>
      </c>
      <c r="M457">
        <f>IF(AND(E457&gt;5000, K457&lt;&gt;"&gt;East"), "High-Value Merchant Day", "Standard")</f>
        <v/>
      </c>
    </row>
    <row r="458">
      <c r="A458" t="inlineStr">
        <is>
          <t>TXN100456</t>
        </is>
      </c>
      <c r="B458" t="n">
        <v>173</v>
      </c>
      <c r="C458" t="n">
        <v>17</v>
      </c>
      <c r="D458" t="inlineStr">
        <is>
          <t>2026-01-18 20:43:00</t>
        </is>
      </c>
      <c r="E458" t="n">
        <v>99</v>
      </c>
      <c r="F458" t="inlineStr">
        <is>
          <t>Netbanking</t>
        </is>
      </c>
      <c r="G458" t="inlineStr">
        <is>
          <t>captured</t>
        </is>
      </c>
      <c r="H458" t="n">
        <v>97</v>
      </c>
      <c r="I458">
        <f>IFERROR(VLOOKUP(C458, Merchants!$A$2:$D$41, 2, FALSE), "Merchant not found")</f>
        <v/>
      </c>
      <c r="J458">
        <f>IFERROR(VLOOKUP(C458, Merchants!$A$2:$D$41, 3, FALSE), "Merchant not found")</f>
        <v/>
      </c>
      <c r="K458">
        <f>IFERROR(VLOOKUP(C458, Merchants!$A$2:$D$41, 4, FALSE), "Merchant not found")</f>
        <v/>
      </c>
      <c r="L458">
        <f>HLOOKUP(F458, Fee_Tiers!$B$1:$E$2, 2, FALSE)</f>
        <v/>
      </c>
      <c r="M458">
        <f>IF(AND(E458&gt;5000, K458&lt;&gt;"&gt;East"), "High-Value Merchant Day", "Standard")</f>
        <v/>
      </c>
    </row>
    <row r="459">
      <c r="A459" t="inlineStr">
        <is>
          <t>TXN100457</t>
        </is>
      </c>
      <c r="B459" t="n">
        <v>329</v>
      </c>
      <c r="C459" t="n">
        <v>32</v>
      </c>
      <c r="D459" t="inlineStr">
        <is>
          <t>2026-01-27 15:46:00</t>
        </is>
      </c>
      <c r="E459" t="n">
        <v>1499</v>
      </c>
      <c r="F459" t="inlineStr">
        <is>
          <t>UPI</t>
        </is>
      </c>
      <c r="G459" t="inlineStr">
        <is>
          <t>captured</t>
        </is>
      </c>
      <c r="H459" t="n">
        <v>58</v>
      </c>
      <c r="I459">
        <f>IFERROR(VLOOKUP(C459, Merchants!$A$2:$D$41, 2, FALSE), "Merchant not found")</f>
        <v/>
      </c>
      <c r="J459">
        <f>IFERROR(VLOOKUP(C459, Merchants!$A$2:$D$41, 3, FALSE), "Merchant not found")</f>
        <v/>
      </c>
      <c r="K459">
        <f>IFERROR(VLOOKUP(C459, Merchants!$A$2:$D$41, 4, FALSE), "Merchant not found")</f>
        <v/>
      </c>
      <c r="L459">
        <f>HLOOKUP(F459, Fee_Tiers!$B$1:$E$2, 2, FALSE)</f>
        <v/>
      </c>
      <c r="M459">
        <f>IF(AND(E459&gt;5000, K459&lt;&gt;"&gt;East"), "High-Value Merchant Day", "Standard")</f>
        <v/>
      </c>
    </row>
    <row r="460">
      <c r="A460" t="inlineStr">
        <is>
          <t>TXN100458</t>
        </is>
      </c>
      <c r="B460" t="n">
        <v>181</v>
      </c>
      <c r="C460" t="n">
        <v>11</v>
      </c>
      <c r="D460" t="inlineStr">
        <is>
          <t>2026-01-06 23:50:00</t>
        </is>
      </c>
      <c r="E460" t="n">
        <v>1499</v>
      </c>
      <c r="F460" t="inlineStr">
        <is>
          <t>UPI</t>
        </is>
      </c>
      <c r="G460" t="inlineStr">
        <is>
          <t>captured</t>
        </is>
      </c>
      <c r="H460" t="n">
        <v>17</v>
      </c>
      <c r="I460">
        <f>IFERROR(VLOOKUP(C460, Merchants!$A$2:$D$41, 2, FALSE), "Merchant not found")</f>
        <v/>
      </c>
      <c r="J460">
        <f>IFERROR(VLOOKUP(C460, Merchants!$A$2:$D$41, 3, FALSE), "Merchant not found")</f>
        <v/>
      </c>
      <c r="K460">
        <f>IFERROR(VLOOKUP(C460, Merchants!$A$2:$D$41, 4, FALSE), "Merchant not found")</f>
        <v/>
      </c>
      <c r="L460">
        <f>HLOOKUP(F460, Fee_Tiers!$B$1:$E$2, 2, FALSE)</f>
        <v/>
      </c>
      <c r="M460">
        <f>IF(AND(E460&gt;5000, K460&lt;&gt;"&gt;East"), "High-Value Merchant Day", "Standard")</f>
        <v/>
      </c>
    </row>
    <row r="461">
      <c r="A461" t="inlineStr">
        <is>
          <t>TXN100459</t>
        </is>
      </c>
      <c r="B461" t="n">
        <v>95</v>
      </c>
      <c r="C461" t="n">
        <v>35</v>
      </c>
      <c r="D461" t="inlineStr">
        <is>
          <t>2026-01-24 17:31:00</t>
        </is>
      </c>
      <c r="E461" t="n">
        <v>149</v>
      </c>
      <c r="F461" t="inlineStr">
        <is>
          <t>Wallet</t>
        </is>
      </c>
      <c r="G461" t="inlineStr">
        <is>
          <t>captured</t>
        </is>
      </c>
      <c r="H461" t="n">
        <v>82</v>
      </c>
      <c r="I461">
        <f>IFERROR(VLOOKUP(C461, Merchants!$A$2:$D$41, 2, FALSE), "Merchant not found")</f>
        <v/>
      </c>
      <c r="J461">
        <f>IFERROR(VLOOKUP(C461, Merchants!$A$2:$D$41, 3, FALSE), "Merchant not found")</f>
        <v/>
      </c>
      <c r="K461">
        <f>IFERROR(VLOOKUP(C461, Merchants!$A$2:$D$41, 4, FALSE), "Merchant not found")</f>
        <v/>
      </c>
      <c r="L461">
        <f>HLOOKUP(F461, Fee_Tiers!$B$1:$E$2, 2, FALSE)</f>
        <v/>
      </c>
      <c r="M461">
        <f>IF(AND(E461&gt;5000, K461&lt;&gt;"&gt;East"), "High-Value Merchant Day", "Standard")</f>
        <v/>
      </c>
    </row>
    <row r="462">
      <c r="A462" t="inlineStr">
        <is>
          <t>TXN100460</t>
        </is>
      </c>
      <c r="B462" t="n">
        <v>39</v>
      </c>
      <c r="C462" t="n">
        <v>4</v>
      </c>
      <c r="D462" t="inlineStr">
        <is>
          <t>2026-01-02 16:02:00</t>
        </is>
      </c>
      <c r="E462" t="n">
        <v>149</v>
      </c>
      <c r="F462" t="inlineStr">
        <is>
          <t>Netbanking</t>
        </is>
      </c>
      <c r="G462" t="inlineStr">
        <is>
          <t>captured</t>
        </is>
      </c>
      <c r="H462" t="n">
        <v>97</v>
      </c>
      <c r="I462">
        <f>IFERROR(VLOOKUP(C462, Merchants!$A$2:$D$41, 2, FALSE), "Merchant not found")</f>
        <v/>
      </c>
      <c r="J462">
        <f>IFERROR(VLOOKUP(C462, Merchants!$A$2:$D$41, 3, FALSE), "Merchant not found")</f>
        <v/>
      </c>
      <c r="K462">
        <f>IFERROR(VLOOKUP(C462, Merchants!$A$2:$D$41, 4, FALSE), "Merchant not found")</f>
        <v/>
      </c>
      <c r="L462">
        <f>HLOOKUP(F462, Fee_Tiers!$B$1:$E$2, 2, FALSE)</f>
        <v/>
      </c>
      <c r="M462">
        <f>IF(AND(E462&gt;5000, K462&lt;&gt;"&gt;East"), "High-Value Merchant Day", "Standard")</f>
        <v/>
      </c>
    </row>
    <row r="463">
      <c r="A463" t="inlineStr">
        <is>
          <t>TXN100461</t>
        </is>
      </c>
      <c r="B463" t="n">
        <v>323</v>
      </c>
      <c r="C463" t="n">
        <v>15</v>
      </c>
      <c r="D463" t="inlineStr">
        <is>
          <t>2026-01-01 13:08:00</t>
        </is>
      </c>
      <c r="E463" t="n">
        <v>499</v>
      </c>
      <c r="F463" t="inlineStr">
        <is>
          <t>UPI</t>
        </is>
      </c>
      <c r="G463" t="inlineStr">
        <is>
          <t>captured</t>
        </is>
      </c>
      <c r="H463" t="n">
        <v>8</v>
      </c>
      <c r="I463">
        <f>IFERROR(VLOOKUP(C463, Merchants!$A$2:$D$41, 2, FALSE), "Merchant not found")</f>
        <v/>
      </c>
      <c r="J463">
        <f>IFERROR(VLOOKUP(C463, Merchants!$A$2:$D$41, 3, FALSE), "Merchant not found")</f>
        <v/>
      </c>
      <c r="K463">
        <f>IFERROR(VLOOKUP(C463, Merchants!$A$2:$D$41, 4, FALSE), "Merchant not found")</f>
        <v/>
      </c>
      <c r="L463">
        <f>HLOOKUP(F463, Fee_Tiers!$B$1:$E$2, 2, FALSE)</f>
        <v/>
      </c>
      <c r="M463">
        <f>IF(AND(E463&gt;5000, K463&lt;&gt;"&gt;East"), "High-Value Merchant Day", "Standard")</f>
        <v/>
      </c>
    </row>
    <row r="464">
      <c r="A464" t="inlineStr">
        <is>
          <t>TXN100462</t>
        </is>
      </c>
      <c r="B464" t="n">
        <v>112</v>
      </c>
      <c r="C464" t="n">
        <v>33</v>
      </c>
      <c r="D464" t="inlineStr">
        <is>
          <t>2026-01-23 04:00:00</t>
        </is>
      </c>
      <c r="E464" t="n">
        <v>49</v>
      </c>
      <c r="F464" t="inlineStr">
        <is>
          <t>Netbanking</t>
        </is>
      </c>
      <c r="G464" t="inlineStr">
        <is>
          <t>captured</t>
        </is>
      </c>
      <c r="H464" t="n">
        <v>58</v>
      </c>
      <c r="I464">
        <f>IFERROR(VLOOKUP(C464, Merchants!$A$2:$D$41, 2, FALSE), "Merchant not found")</f>
        <v/>
      </c>
      <c r="J464">
        <f>IFERROR(VLOOKUP(C464, Merchants!$A$2:$D$41, 3, FALSE), "Merchant not found")</f>
        <v/>
      </c>
      <c r="K464">
        <f>IFERROR(VLOOKUP(C464, Merchants!$A$2:$D$41, 4, FALSE), "Merchant not found")</f>
        <v/>
      </c>
      <c r="L464">
        <f>HLOOKUP(F464, Fee_Tiers!$B$1:$E$2, 2, FALSE)</f>
        <v/>
      </c>
      <c r="M464">
        <f>IF(AND(E464&gt;5000, K464&lt;&gt;"&gt;East"), "High-Value Merchant Day", "Standard")</f>
        <v/>
      </c>
    </row>
    <row r="465">
      <c r="A465" t="inlineStr">
        <is>
          <t>TXN100463</t>
        </is>
      </c>
      <c r="B465" t="n">
        <v>327</v>
      </c>
      <c r="C465" t="n">
        <v>40</v>
      </c>
      <c r="D465" t="inlineStr">
        <is>
          <t>2026-01-12 01:39:00</t>
        </is>
      </c>
      <c r="E465" t="n">
        <v>99</v>
      </c>
      <c r="F465" t="inlineStr">
        <is>
          <t>UPI</t>
        </is>
      </c>
      <c r="G465" t="inlineStr">
        <is>
          <t>captured</t>
        </is>
      </c>
      <c r="H465" t="n">
        <v>61</v>
      </c>
      <c r="I465">
        <f>IFERROR(VLOOKUP(C465, Merchants!$A$2:$D$41, 2, FALSE), "Merchant not found")</f>
        <v/>
      </c>
      <c r="J465">
        <f>IFERROR(VLOOKUP(C465, Merchants!$A$2:$D$41, 3, FALSE), "Merchant not found")</f>
        <v/>
      </c>
      <c r="K465">
        <f>IFERROR(VLOOKUP(C465, Merchants!$A$2:$D$41, 4, FALSE), "Merchant not found")</f>
        <v/>
      </c>
      <c r="L465">
        <f>HLOOKUP(F465, Fee_Tiers!$B$1:$E$2, 2, FALSE)</f>
        <v/>
      </c>
      <c r="M465">
        <f>IF(AND(E465&gt;5000, K465&lt;&gt;"&gt;East"), "High-Value Merchant Day", "Standard")</f>
        <v/>
      </c>
    </row>
    <row r="466">
      <c r="A466" t="inlineStr">
        <is>
          <t>TXN100464</t>
        </is>
      </c>
      <c r="B466" t="n">
        <v>4</v>
      </c>
      <c r="C466" t="n">
        <v>35</v>
      </c>
      <c r="D466" t="inlineStr">
        <is>
          <t>2026-01-22 15:01:00</t>
        </is>
      </c>
      <c r="E466" t="n">
        <v>299</v>
      </c>
      <c r="F466" t="inlineStr">
        <is>
          <t>UPI</t>
        </is>
      </c>
      <c r="G466" t="inlineStr">
        <is>
          <t>captured</t>
        </is>
      </c>
      <c r="H466" t="n">
        <v>70</v>
      </c>
      <c r="I466">
        <f>IFERROR(VLOOKUP(C466, Merchants!$A$2:$D$41, 2, FALSE), "Merchant not found")</f>
        <v/>
      </c>
      <c r="J466">
        <f>IFERROR(VLOOKUP(C466, Merchants!$A$2:$D$41, 3, FALSE), "Merchant not found")</f>
        <v/>
      </c>
      <c r="K466">
        <f>IFERROR(VLOOKUP(C466, Merchants!$A$2:$D$41, 4, FALSE), "Merchant not found")</f>
        <v/>
      </c>
      <c r="L466">
        <f>HLOOKUP(F466, Fee_Tiers!$B$1:$E$2, 2, FALSE)</f>
        <v/>
      </c>
      <c r="M466">
        <f>IF(AND(E466&gt;5000, K466&lt;&gt;"&gt;East"), "High-Value Merchant Day", "Standard")</f>
        <v/>
      </c>
    </row>
    <row r="467">
      <c r="A467" t="inlineStr">
        <is>
          <t>TXN100465</t>
        </is>
      </c>
      <c r="B467" t="n">
        <v>272</v>
      </c>
      <c r="C467" t="n">
        <v>18</v>
      </c>
      <c r="D467" t="inlineStr">
        <is>
          <t>2026-01-14 00:01:00</t>
        </is>
      </c>
      <c r="E467" t="n">
        <v>149</v>
      </c>
      <c r="F467" t="inlineStr">
        <is>
          <t>UPI</t>
        </is>
      </c>
      <c r="G467" t="inlineStr">
        <is>
          <t>captured</t>
        </is>
      </c>
      <c r="H467" t="n">
        <v>68</v>
      </c>
      <c r="I467">
        <f>IFERROR(VLOOKUP(C467, Merchants!$A$2:$D$41, 2, FALSE), "Merchant not found")</f>
        <v/>
      </c>
      <c r="J467">
        <f>IFERROR(VLOOKUP(C467, Merchants!$A$2:$D$41, 3, FALSE), "Merchant not found")</f>
        <v/>
      </c>
      <c r="K467">
        <f>IFERROR(VLOOKUP(C467, Merchants!$A$2:$D$41, 4, FALSE), "Merchant not found")</f>
        <v/>
      </c>
      <c r="L467">
        <f>HLOOKUP(F467, Fee_Tiers!$B$1:$E$2, 2, FALSE)</f>
        <v/>
      </c>
      <c r="M467">
        <f>IF(AND(E467&gt;5000, K467&lt;&gt;"&gt;East"), "High-Value Merchant Day", "Standard")</f>
        <v/>
      </c>
    </row>
    <row r="468">
      <c r="A468" t="inlineStr">
        <is>
          <t>TXN100466</t>
        </is>
      </c>
      <c r="B468" t="n">
        <v>346</v>
      </c>
      <c r="C468" t="n">
        <v>28</v>
      </c>
      <c r="D468" t="inlineStr">
        <is>
          <t>2026-01-10 00:32:00</t>
        </is>
      </c>
      <c r="E468" t="n">
        <v>499</v>
      </c>
      <c r="F468" t="inlineStr">
        <is>
          <t>UPI</t>
        </is>
      </c>
      <c r="G468" t="inlineStr">
        <is>
          <t>captured</t>
        </is>
      </c>
      <c r="H468" t="n">
        <v>22</v>
      </c>
      <c r="I468">
        <f>IFERROR(VLOOKUP(C468, Merchants!$A$2:$D$41, 2, FALSE), "Merchant not found")</f>
        <v/>
      </c>
      <c r="J468">
        <f>IFERROR(VLOOKUP(C468, Merchants!$A$2:$D$41, 3, FALSE), "Merchant not found")</f>
        <v/>
      </c>
      <c r="K468">
        <f>IFERROR(VLOOKUP(C468, Merchants!$A$2:$D$41, 4, FALSE), "Merchant not found")</f>
        <v/>
      </c>
      <c r="L468">
        <f>HLOOKUP(F468, Fee_Tiers!$B$1:$E$2, 2, FALSE)</f>
        <v/>
      </c>
      <c r="M468">
        <f>IF(AND(E468&gt;5000, K468&lt;&gt;"&gt;East"), "High-Value Merchant Day", "Standard")</f>
        <v/>
      </c>
    </row>
    <row r="469">
      <c r="A469" t="inlineStr">
        <is>
          <t>TXN100467</t>
        </is>
      </c>
      <c r="B469" t="n">
        <v>77</v>
      </c>
      <c r="C469" t="n">
        <v>16</v>
      </c>
      <c r="D469" t="inlineStr">
        <is>
          <t>2026-01-04 03:33:00</t>
        </is>
      </c>
      <c r="E469" t="n">
        <v>49</v>
      </c>
      <c r="F469" t="inlineStr">
        <is>
          <t>Wallet</t>
        </is>
      </c>
      <c r="G469" t="inlineStr">
        <is>
          <t>captured</t>
        </is>
      </c>
      <c r="H469" t="n">
        <v>24</v>
      </c>
      <c r="I469">
        <f>IFERROR(VLOOKUP(C469, Merchants!$A$2:$D$41, 2, FALSE), "Merchant not found")</f>
        <v/>
      </c>
      <c r="J469">
        <f>IFERROR(VLOOKUP(C469, Merchants!$A$2:$D$41, 3, FALSE), "Merchant not found")</f>
        <v/>
      </c>
      <c r="K469">
        <f>IFERROR(VLOOKUP(C469, Merchants!$A$2:$D$41, 4, FALSE), "Merchant not found")</f>
        <v/>
      </c>
      <c r="L469">
        <f>HLOOKUP(F469, Fee_Tiers!$B$1:$E$2, 2, FALSE)</f>
        <v/>
      </c>
      <c r="M469">
        <f>IF(AND(E469&gt;5000, K469&lt;&gt;"&gt;East"), "High-Value Merchant Day", "Standard")</f>
        <v/>
      </c>
    </row>
    <row r="470">
      <c r="A470" t="inlineStr">
        <is>
          <t>TXN100468</t>
        </is>
      </c>
      <c r="B470" t="n">
        <v>182</v>
      </c>
      <c r="C470" t="n">
        <v>18</v>
      </c>
      <c r="D470" t="inlineStr">
        <is>
          <t>2026-01-20 16:16:00</t>
        </is>
      </c>
      <c r="E470" t="n">
        <v>149</v>
      </c>
      <c r="F470" t="inlineStr">
        <is>
          <t>Card</t>
        </is>
      </c>
      <c r="G470" t="inlineStr">
        <is>
          <t>captured</t>
        </is>
      </c>
      <c r="H470" t="n">
        <v>50</v>
      </c>
      <c r="I470">
        <f>IFERROR(VLOOKUP(C470, Merchants!$A$2:$D$41, 2, FALSE), "Merchant not found")</f>
        <v/>
      </c>
      <c r="J470">
        <f>IFERROR(VLOOKUP(C470, Merchants!$A$2:$D$41, 3, FALSE), "Merchant not found")</f>
        <v/>
      </c>
      <c r="K470">
        <f>IFERROR(VLOOKUP(C470, Merchants!$A$2:$D$41, 4, FALSE), "Merchant not found")</f>
        <v/>
      </c>
      <c r="L470">
        <f>HLOOKUP(F470, Fee_Tiers!$B$1:$E$2, 2, FALSE)</f>
        <v/>
      </c>
      <c r="M470">
        <f>IF(AND(E470&gt;5000, K470&lt;&gt;"&gt;East"), "High-Value Merchant Day", "Standard")</f>
        <v/>
      </c>
    </row>
    <row r="471">
      <c r="A471" t="inlineStr">
        <is>
          <t>TXN100469</t>
        </is>
      </c>
      <c r="B471" t="n">
        <v>236</v>
      </c>
      <c r="C471" t="n">
        <v>37</v>
      </c>
      <c r="D471" t="inlineStr">
        <is>
          <t>2026-01-03 11:25:00</t>
        </is>
      </c>
      <c r="E471" t="n">
        <v>299</v>
      </c>
      <c r="F471" t="inlineStr">
        <is>
          <t>Card</t>
        </is>
      </c>
      <c r="G471" t="inlineStr">
        <is>
          <t>captured</t>
        </is>
      </c>
      <c r="H471" t="n">
        <v>31</v>
      </c>
      <c r="I471">
        <f>IFERROR(VLOOKUP(C471, Merchants!$A$2:$D$41, 2, FALSE), "Merchant not found")</f>
        <v/>
      </c>
      <c r="J471">
        <f>IFERROR(VLOOKUP(C471, Merchants!$A$2:$D$41, 3, FALSE), "Merchant not found")</f>
        <v/>
      </c>
      <c r="K471">
        <f>IFERROR(VLOOKUP(C471, Merchants!$A$2:$D$41, 4, FALSE), "Merchant not found")</f>
        <v/>
      </c>
      <c r="L471">
        <f>HLOOKUP(F471, Fee_Tiers!$B$1:$E$2, 2, FALSE)</f>
        <v/>
      </c>
      <c r="M471">
        <f>IF(AND(E471&gt;5000, K471&lt;&gt;"&gt;East"), "High-Value Merchant Day", "Standard")</f>
        <v/>
      </c>
    </row>
    <row r="472">
      <c r="A472" t="inlineStr">
        <is>
          <t>TXN100470</t>
        </is>
      </c>
      <c r="B472" t="n">
        <v>42</v>
      </c>
      <c r="C472" t="n">
        <v>3</v>
      </c>
      <c r="D472" t="inlineStr">
        <is>
          <t>2026-01-23 07:19:00</t>
        </is>
      </c>
      <c r="E472" t="n">
        <v>49</v>
      </c>
      <c r="F472" t="inlineStr">
        <is>
          <t>UPI</t>
        </is>
      </c>
      <c r="G472" t="inlineStr">
        <is>
          <t>captured</t>
        </is>
      </c>
      <c r="H472" t="n">
        <v>11</v>
      </c>
      <c r="I472">
        <f>IFERROR(VLOOKUP(C472, Merchants!$A$2:$D$41, 2, FALSE), "Merchant not found")</f>
        <v/>
      </c>
      <c r="J472">
        <f>IFERROR(VLOOKUP(C472, Merchants!$A$2:$D$41, 3, FALSE), "Merchant not found")</f>
        <v/>
      </c>
      <c r="K472">
        <f>IFERROR(VLOOKUP(C472, Merchants!$A$2:$D$41, 4, FALSE), "Merchant not found")</f>
        <v/>
      </c>
      <c r="L472">
        <f>HLOOKUP(F472, Fee_Tiers!$B$1:$E$2, 2, FALSE)</f>
        <v/>
      </c>
      <c r="M472">
        <f>IF(AND(E472&gt;5000, K472&lt;&gt;"&gt;East"), "High-Value Merchant Day", "Standard")</f>
        <v/>
      </c>
    </row>
    <row r="473">
      <c r="A473" t="inlineStr">
        <is>
          <t>TXN100471</t>
        </is>
      </c>
      <c r="B473" t="n">
        <v>283</v>
      </c>
      <c r="C473" t="n">
        <v>31</v>
      </c>
      <c r="D473" t="inlineStr">
        <is>
          <t>2026-01-13 12:24:00</t>
        </is>
      </c>
      <c r="E473" t="n">
        <v>299</v>
      </c>
      <c r="F473" t="inlineStr">
        <is>
          <t>Netbanking</t>
        </is>
      </c>
      <c r="G473" t="inlineStr">
        <is>
          <t>captured</t>
        </is>
      </c>
      <c r="H473" t="n">
        <v>7</v>
      </c>
      <c r="I473">
        <f>IFERROR(VLOOKUP(C473, Merchants!$A$2:$D$41, 2, FALSE), "Merchant not found")</f>
        <v/>
      </c>
      <c r="J473">
        <f>IFERROR(VLOOKUP(C473, Merchants!$A$2:$D$41, 3, FALSE), "Merchant not found")</f>
        <v/>
      </c>
      <c r="K473">
        <f>IFERROR(VLOOKUP(C473, Merchants!$A$2:$D$41, 4, FALSE), "Merchant not found")</f>
        <v/>
      </c>
      <c r="L473">
        <f>HLOOKUP(F473, Fee_Tiers!$B$1:$E$2, 2, FALSE)</f>
        <v/>
      </c>
      <c r="M473">
        <f>IF(AND(E473&gt;5000, K473&lt;&gt;"&gt;East"), "High-Value Merchant Day", "Standard")</f>
        <v/>
      </c>
    </row>
    <row r="474">
      <c r="A474" t="inlineStr">
        <is>
          <t>TXN100472</t>
        </is>
      </c>
      <c r="B474" t="n">
        <v>88</v>
      </c>
      <c r="C474" t="n">
        <v>6</v>
      </c>
      <c r="D474" t="inlineStr">
        <is>
          <t>2026-01-21 00:44:00</t>
        </is>
      </c>
      <c r="E474" t="n">
        <v>49</v>
      </c>
      <c r="F474" t="inlineStr">
        <is>
          <t>UPI</t>
        </is>
      </c>
      <c r="G474" t="inlineStr">
        <is>
          <t>captured</t>
        </is>
      </c>
      <c r="H474" t="n">
        <v>63</v>
      </c>
      <c r="I474">
        <f>IFERROR(VLOOKUP(C474, Merchants!$A$2:$D$41, 2, FALSE), "Merchant not found")</f>
        <v/>
      </c>
      <c r="J474">
        <f>IFERROR(VLOOKUP(C474, Merchants!$A$2:$D$41, 3, FALSE), "Merchant not found")</f>
        <v/>
      </c>
      <c r="K474">
        <f>IFERROR(VLOOKUP(C474, Merchants!$A$2:$D$41, 4, FALSE), "Merchant not found")</f>
        <v/>
      </c>
      <c r="L474">
        <f>HLOOKUP(F474, Fee_Tiers!$B$1:$E$2, 2, FALSE)</f>
        <v/>
      </c>
      <c r="M474">
        <f>IF(AND(E474&gt;5000, K474&lt;&gt;"&gt;East"), "High-Value Merchant Day", "Standard")</f>
        <v/>
      </c>
    </row>
    <row r="475">
      <c r="A475" t="inlineStr">
        <is>
          <t>TXN100473</t>
        </is>
      </c>
      <c r="B475" t="n">
        <v>170</v>
      </c>
      <c r="C475" t="n">
        <v>37</v>
      </c>
      <c r="D475" t="inlineStr">
        <is>
          <t>2026-01-28 13:41:00</t>
        </is>
      </c>
      <c r="E475" t="n">
        <v>99</v>
      </c>
      <c r="F475" t="inlineStr">
        <is>
          <t>UPI</t>
        </is>
      </c>
      <c r="G475" t="inlineStr">
        <is>
          <t>failed</t>
        </is>
      </c>
      <c r="H475" t="n">
        <v>12</v>
      </c>
      <c r="I475">
        <f>IFERROR(VLOOKUP(C475, Merchants!$A$2:$D$41, 2, FALSE), "Merchant not found")</f>
        <v/>
      </c>
      <c r="J475">
        <f>IFERROR(VLOOKUP(C475, Merchants!$A$2:$D$41, 3, FALSE), "Merchant not found")</f>
        <v/>
      </c>
      <c r="K475">
        <f>IFERROR(VLOOKUP(C475, Merchants!$A$2:$D$41, 4, FALSE), "Merchant not found")</f>
        <v/>
      </c>
      <c r="L475">
        <f>HLOOKUP(F475, Fee_Tiers!$B$1:$E$2, 2, FALSE)</f>
        <v/>
      </c>
      <c r="M475">
        <f>IF(AND(E475&gt;5000, K475&lt;&gt;"&gt;East"), "High-Value Merchant Day", "Standard")</f>
        <v/>
      </c>
    </row>
    <row r="476">
      <c r="A476" t="inlineStr">
        <is>
          <t>TXN100474</t>
        </is>
      </c>
      <c r="B476" t="n">
        <v>22</v>
      </c>
      <c r="C476" t="n">
        <v>15</v>
      </c>
      <c r="D476" t="inlineStr">
        <is>
          <t>2026-01-29 16:58:00</t>
        </is>
      </c>
      <c r="E476" t="n">
        <v>49</v>
      </c>
      <c r="F476" t="inlineStr">
        <is>
          <t>Netbanking</t>
        </is>
      </c>
      <c r="G476" t="inlineStr">
        <is>
          <t>captured</t>
        </is>
      </c>
      <c r="H476" t="n">
        <v>27</v>
      </c>
      <c r="I476">
        <f>IFERROR(VLOOKUP(C476, Merchants!$A$2:$D$41, 2, FALSE), "Merchant not found")</f>
        <v/>
      </c>
      <c r="J476">
        <f>IFERROR(VLOOKUP(C476, Merchants!$A$2:$D$41, 3, FALSE), "Merchant not found")</f>
        <v/>
      </c>
      <c r="K476">
        <f>IFERROR(VLOOKUP(C476, Merchants!$A$2:$D$41, 4, FALSE), "Merchant not found")</f>
        <v/>
      </c>
      <c r="L476">
        <f>HLOOKUP(F476, Fee_Tiers!$B$1:$E$2, 2, FALSE)</f>
        <v/>
      </c>
      <c r="M476">
        <f>IF(AND(E476&gt;5000, K476&lt;&gt;"&gt;East"), "High-Value Merchant Day", "Standard")</f>
        <v/>
      </c>
    </row>
    <row r="477">
      <c r="A477" t="inlineStr">
        <is>
          <t>TXN100475</t>
        </is>
      </c>
      <c r="B477" t="n">
        <v>291</v>
      </c>
      <c r="C477" t="n">
        <v>31</v>
      </c>
      <c r="D477" t="inlineStr">
        <is>
          <t>2026-01-29 22:56:00</t>
        </is>
      </c>
      <c r="E477" t="n">
        <v>49</v>
      </c>
      <c r="F477" t="inlineStr">
        <is>
          <t>Netbanking</t>
        </is>
      </c>
      <c r="G477" t="inlineStr">
        <is>
          <t>failed</t>
        </is>
      </c>
      <c r="H477" t="n">
        <v>34</v>
      </c>
      <c r="I477">
        <f>IFERROR(VLOOKUP(C477, Merchants!$A$2:$D$41, 2, FALSE), "Merchant not found")</f>
        <v/>
      </c>
      <c r="J477">
        <f>IFERROR(VLOOKUP(C477, Merchants!$A$2:$D$41, 3, FALSE), "Merchant not found")</f>
        <v/>
      </c>
      <c r="K477">
        <f>IFERROR(VLOOKUP(C477, Merchants!$A$2:$D$41, 4, FALSE), "Merchant not found")</f>
        <v/>
      </c>
      <c r="L477">
        <f>HLOOKUP(F477, Fee_Tiers!$B$1:$E$2, 2, FALSE)</f>
        <v/>
      </c>
      <c r="M477">
        <f>IF(AND(E477&gt;5000, K477&lt;&gt;"&gt;East"), "High-Value Merchant Day", "Standard")</f>
        <v/>
      </c>
    </row>
    <row r="478">
      <c r="A478" t="inlineStr">
        <is>
          <t>TXN100476</t>
        </is>
      </c>
      <c r="B478" t="n">
        <v>144</v>
      </c>
      <c r="C478" t="n">
        <v>35</v>
      </c>
      <c r="D478" t="inlineStr">
        <is>
          <t>2026-01-02 02:43:00</t>
        </is>
      </c>
      <c r="E478" t="n">
        <v>1499</v>
      </c>
      <c r="F478" t="inlineStr">
        <is>
          <t>UPI</t>
        </is>
      </c>
      <c r="G478" t="inlineStr">
        <is>
          <t>captured</t>
        </is>
      </c>
      <c r="H478" t="n">
        <v>72</v>
      </c>
      <c r="I478">
        <f>IFERROR(VLOOKUP(C478, Merchants!$A$2:$D$41, 2, FALSE), "Merchant not found")</f>
        <v/>
      </c>
      <c r="J478">
        <f>IFERROR(VLOOKUP(C478, Merchants!$A$2:$D$41, 3, FALSE), "Merchant not found")</f>
        <v/>
      </c>
      <c r="K478">
        <f>IFERROR(VLOOKUP(C478, Merchants!$A$2:$D$41, 4, FALSE), "Merchant not found")</f>
        <v/>
      </c>
      <c r="L478">
        <f>HLOOKUP(F478, Fee_Tiers!$B$1:$E$2, 2, FALSE)</f>
        <v/>
      </c>
      <c r="M478">
        <f>IF(AND(E478&gt;5000, K478&lt;&gt;"&gt;East"), "High-Value Merchant Day", "Standard")</f>
        <v/>
      </c>
    </row>
    <row r="479">
      <c r="A479" t="inlineStr">
        <is>
          <t>TXN100477</t>
        </is>
      </c>
      <c r="B479" t="n">
        <v>162</v>
      </c>
      <c r="C479" t="n">
        <v>2</v>
      </c>
      <c r="D479" t="inlineStr">
        <is>
          <t>2026-01-22 01:11:00</t>
        </is>
      </c>
      <c r="E479" t="n">
        <v>299</v>
      </c>
      <c r="F479" t="inlineStr">
        <is>
          <t>Wallet</t>
        </is>
      </c>
      <c r="G479" t="inlineStr">
        <is>
          <t>captured</t>
        </is>
      </c>
      <c r="H479" t="n">
        <v>26</v>
      </c>
      <c r="I479">
        <f>IFERROR(VLOOKUP(C479, Merchants!$A$2:$D$41, 2, FALSE), "Merchant not found")</f>
        <v/>
      </c>
      <c r="J479">
        <f>IFERROR(VLOOKUP(C479, Merchants!$A$2:$D$41, 3, FALSE), "Merchant not found")</f>
        <v/>
      </c>
      <c r="K479">
        <f>IFERROR(VLOOKUP(C479, Merchants!$A$2:$D$41, 4, FALSE), "Merchant not found")</f>
        <v/>
      </c>
      <c r="L479">
        <f>HLOOKUP(F479, Fee_Tiers!$B$1:$E$2, 2, FALSE)</f>
        <v/>
      </c>
      <c r="M479">
        <f>IF(AND(E479&gt;5000, K479&lt;&gt;"&gt;East"), "High-Value Merchant Day", "Standard")</f>
        <v/>
      </c>
    </row>
    <row r="480">
      <c r="A480" t="inlineStr">
        <is>
          <t>TXN100478</t>
        </is>
      </c>
      <c r="B480" t="n">
        <v>204</v>
      </c>
      <c r="C480" t="n">
        <v>5</v>
      </c>
      <c r="D480" t="inlineStr">
        <is>
          <t>2026-01-19 04:48:00</t>
        </is>
      </c>
      <c r="E480" t="n">
        <v>49</v>
      </c>
      <c r="F480" t="inlineStr">
        <is>
          <t>UPI</t>
        </is>
      </c>
      <c r="G480" t="inlineStr">
        <is>
          <t>captured</t>
        </is>
      </c>
      <c r="H480" t="n">
        <v>38</v>
      </c>
      <c r="I480">
        <f>IFERROR(VLOOKUP(C480, Merchants!$A$2:$D$41, 2, FALSE), "Merchant not found")</f>
        <v/>
      </c>
      <c r="J480">
        <f>IFERROR(VLOOKUP(C480, Merchants!$A$2:$D$41, 3, FALSE), "Merchant not found")</f>
        <v/>
      </c>
      <c r="K480">
        <f>IFERROR(VLOOKUP(C480, Merchants!$A$2:$D$41, 4, FALSE), "Merchant not found")</f>
        <v/>
      </c>
      <c r="L480">
        <f>HLOOKUP(F480, Fee_Tiers!$B$1:$E$2, 2, FALSE)</f>
        <v/>
      </c>
      <c r="M480">
        <f>IF(AND(E480&gt;5000, K480&lt;&gt;"&gt;East"), "High-Value Merchant Day", "Standard")</f>
        <v/>
      </c>
    </row>
    <row r="481">
      <c r="A481" t="inlineStr">
        <is>
          <t>TXN100479</t>
        </is>
      </c>
      <c r="B481" t="n">
        <v>291</v>
      </c>
      <c r="C481" t="n">
        <v>25</v>
      </c>
      <c r="D481" t="inlineStr">
        <is>
          <t>2026-01-06 18:15:00</t>
        </is>
      </c>
      <c r="E481" t="n">
        <v>99</v>
      </c>
      <c r="F481" t="inlineStr">
        <is>
          <t>Wallet</t>
        </is>
      </c>
      <c r="G481" t="inlineStr">
        <is>
          <t>captured</t>
        </is>
      </c>
      <c r="H481" t="n">
        <v>86</v>
      </c>
      <c r="I481">
        <f>IFERROR(VLOOKUP(C481, Merchants!$A$2:$D$41, 2, FALSE), "Merchant not found")</f>
        <v/>
      </c>
      <c r="J481">
        <f>IFERROR(VLOOKUP(C481, Merchants!$A$2:$D$41, 3, FALSE), "Merchant not found")</f>
        <v/>
      </c>
      <c r="K481">
        <f>IFERROR(VLOOKUP(C481, Merchants!$A$2:$D$41, 4, FALSE), "Merchant not found")</f>
        <v/>
      </c>
      <c r="L481">
        <f>HLOOKUP(F481, Fee_Tiers!$B$1:$E$2, 2, FALSE)</f>
        <v/>
      </c>
      <c r="M481">
        <f>IF(AND(E481&gt;5000, K481&lt;&gt;"&gt;East"), "High-Value Merchant Day", "Standard")</f>
        <v/>
      </c>
    </row>
    <row r="482">
      <c r="A482" t="inlineStr">
        <is>
          <t>TXN100480</t>
        </is>
      </c>
      <c r="B482" t="n">
        <v>197</v>
      </c>
      <c r="C482" t="n">
        <v>9</v>
      </c>
      <c r="D482" t="inlineStr">
        <is>
          <t>2026-01-29 17:21:00</t>
        </is>
      </c>
      <c r="E482" t="n">
        <v>49</v>
      </c>
      <c r="F482" t="inlineStr">
        <is>
          <t>Wallet</t>
        </is>
      </c>
      <c r="G482" t="inlineStr">
        <is>
          <t>failed</t>
        </is>
      </c>
      <c r="H482" t="n">
        <v>88</v>
      </c>
      <c r="I482">
        <f>IFERROR(VLOOKUP(C482, Merchants!$A$2:$D$41, 2, FALSE), "Merchant not found")</f>
        <v/>
      </c>
      <c r="J482">
        <f>IFERROR(VLOOKUP(C482, Merchants!$A$2:$D$41, 3, FALSE), "Merchant not found")</f>
        <v/>
      </c>
      <c r="K482">
        <f>IFERROR(VLOOKUP(C482, Merchants!$A$2:$D$41, 4, FALSE), "Merchant not found")</f>
        <v/>
      </c>
      <c r="L482">
        <f>HLOOKUP(F482, Fee_Tiers!$B$1:$E$2, 2, FALSE)</f>
        <v/>
      </c>
      <c r="M482">
        <f>IF(AND(E482&gt;5000, K482&lt;&gt;"&gt;East"), "High-Value Merchant Day", "Standard")</f>
        <v/>
      </c>
    </row>
    <row r="483">
      <c r="A483" t="inlineStr">
        <is>
          <t>TXN100481</t>
        </is>
      </c>
      <c r="B483" t="n">
        <v>178</v>
      </c>
      <c r="C483" t="n">
        <v>4</v>
      </c>
      <c r="D483" t="inlineStr">
        <is>
          <t>2026-01-24 02:32:00</t>
        </is>
      </c>
      <c r="E483" t="n">
        <v>1499</v>
      </c>
      <c r="F483" t="inlineStr">
        <is>
          <t>UPI</t>
        </is>
      </c>
      <c r="G483" t="inlineStr">
        <is>
          <t>captured</t>
        </is>
      </c>
      <c r="H483" t="n">
        <v>12</v>
      </c>
      <c r="I483">
        <f>IFERROR(VLOOKUP(C483, Merchants!$A$2:$D$41, 2, FALSE), "Merchant not found")</f>
        <v/>
      </c>
      <c r="J483">
        <f>IFERROR(VLOOKUP(C483, Merchants!$A$2:$D$41, 3, FALSE), "Merchant not found")</f>
        <v/>
      </c>
      <c r="K483">
        <f>IFERROR(VLOOKUP(C483, Merchants!$A$2:$D$41, 4, FALSE), "Merchant not found")</f>
        <v/>
      </c>
      <c r="L483">
        <f>HLOOKUP(F483, Fee_Tiers!$B$1:$E$2, 2, FALSE)</f>
        <v/>
      </c>
      <c r="M483">
        <f>IF(AND(E483&gt;5000, K483&lt;&gt;"&gt;East"), "High-Value Merchant Day", "Standard")</f>
        <v/>
      </c>
    </row>
    <row r="484">
      <c r="A484" t="inlineStr">
        <is>
          <t>TXN100482</t>
        </is>
      </c>
      <c r="B484" t="n">
        <v>39</v>
      </c>
      <c r="C484" t="n">
        <v>22</v>
      </c>
      <c r="D484" t="inlineStr">
        <is>
          <t>2026-01-14 07:53:00</t>
        </is>
      </c>
      <c r="E484" t="n">
        <v>799</v>
      </c>
      <c r="F484" t="inlineStr">
        <is>
          <t>Netbanking</t>
        </is>
      </c>
      <c r="G484" t="inlineStr">
        <is>
          <t>captured</t>
        </is>
      </c>
      <c r="H484" t="n">
        <v>77</v>
      </c>
      <c r="I484">
        <f>IFERROR(VLOOKUP(C484, Merchants!$A$2:$D$41, 2, FALSE), "Merchant not found")</f>
        <v/>
      </c>
      <c r="J484">
        <f>IFERROR(VLOOKUP(C484, Merchants!$A$2:$D$41, 3, FALSE), "Merchant not found")</f>
        <v/>
      </c>
      <c r="K484">
        <f>IFERROR(VLOOKUP(C484, Merchants!$A$2:$D$41, 4, FALSE), "Merchant not found")</f>
        <v/>
      </c>
      <c r="L484">
        <f>HLOOKUP(F484, Fee_Tiers!$B$1:$E$2, 2, FALSE)</f>
        <v/>
      </c>
      <c r="M484">
        <f>IF(AND(E484&gt;5000, K484&lt;&gt;"&gt;East"), "High-Value Merchant Day", "Standard")</f>
        <v/>
      </c>
    </row>
    <row r="485">
      <c r="A485" t="inlineStr">
        <is>
          <t>TXN100483</t>
        </is>
      </c>
      <c r="B485" t="n">
        <v>204</v>
      </c>
      <c r="C485" t="n">
        <v>21</v>
      </c>
      <c r="D485" t="inlineStr">
        <is>
          <t>2026-01-25 19:38:00</t>
        </is>
      </c>
      <c r="E485" t="n">
        <v>299</v>
      </c>
      <c r="F485" t="inlineStr">
        <is>
          <t>Wallet</t>
        </is>
      </c>
      <c r="G485" t="inlineStr">
        <is>
          <t>captured</t>
        </is>
      </c>
      <c r="H485" t="n">
        <v>3</v>
      </c>
      <c r="I485">
        <f>IFERROR(VLOOKUP(C485, Merchants!$A$2:$D$41, 2, FALSE), "Merchant not found")</f>
        <v/>
      </c>
      <c r="J485">
        <f>IFERROR(VLOOKUP(C485, Merchants!$A$2:$D$41, 3, FALSE), "Merchant not found")</f>
        <v/>
      </c>
      <c r="K485">
        <f>IFERROR(VLOOKUP(C485, Merchants!$A$2:$D$41, 4, FALSE), "Merchant not found")</f>
        <v/>
      </c>
      <c r="L485">
        <f>HLOOKUP(F485, Fee_Tiers!$B$1:$E$2, 2, FALSE)</f>
        <v/>
      </c>
      <c r="M485">
        <f>IF(AND(E485&gt;5000, K485&lt;&gt;"&gt;East"), "High-Value Merchant Day", "Standard")</f>
        <v/>
      </c>
    </row>
    <row r="486">
      <c r="A486" t="inlineStr">
        <is>
          <t>TXN100484</t>
        </is>
      </c>
      <c r="B486" t="n">
        <v>231</v>
      </c>
      <c r="C486" t="n">
        <v>32</v>
      </c>
      <c r="D486" t="inlineStr">
        <is>
          <t>2026-01-21 08:50:00</t>
        </is>
      </c>
      <c r="E486" t="n">
        <v>299</v>
      </c>
      <c r="F486" t="inlineStr">
        <is>
          <t>UPI</t>
        </is>
      </c>
      <c r="G486" t="inlineStr">
        <is>
          <t>captured</t>
        </is>
      </c>
      <c r="H486" t="n">
        <v>29</v>
      </c>
      <c r="I486">
        <f>IFERROR(VLOOKUP(C486, Merchants!$A$2:$D$41, 2, FALSE), "Merchant not found")</f>
        <v/>
      </c>
      <c r="J486">
        <f>IFERROR(VLOOKUP(C486, Merchants!$A$2:$D$41, 3, FALSE), "Merchant not found")</f>
        <v/>
      </c>
      <c r="K486">
        <f>IFERROR(VLOOKUP(C486, Merchants!$A$2:$D$41, 4, FALSE), "Merchant not found")</f>
        <v/>
      </c>
      <c r="L486">
        <f>HLOOKUP(F486, Fee_Tiers!$B$1:$E$2, 2, FALSE)</f>
        <v/>
      </c>
      <c r="M486">
        <f>IF(AND(E486&gt;5000, K486&lt;&gt;"&gt;East"), "High-Value Merchant Day", "Standard")</f>
        <v/>
      </c>
    </row>
    <row r="487">
      <c r="A487" t="inlineStr">
        <is>
          <t>TXN100485</t>
        </is>
      </c>
      <c r="B487" t="n">
        <v>222</v>
      </c>
      <c r="C487" t="n">
        <v>12</v>
      </c>
      <c r="D487" t="inlineStr">
        <is>
          <t>2026-01-12 17:24:00</t>
        </is>
      </c>
      <c r="E487" t="n">
        <v>499</v>
      </c>
      <c r="F487" t="inlineStr">
        <is>
          <t>Wallet</t>
        </is>
      </c>
      <c r="G487" t="inlineStr">
        <is>
          <t>failed</t>
        </is>
      </c>
      <c r="H487" t="n">
        <v>87</v>
      </c>
      <c r="I487">
        <f>IFERROR(VLOOKUP(C487, Merchants!$A$2:$D$41, 2, FALSE), "Merchant not found")</f>
        <v/>
      </c>
      <c r="J487">
        <f>IFERROR(VLOOKUP(C487, Merchants!$A$2:$D$41, 3, FALSE), "Merchant not found")</f>
        <v/>
      </c>
      <c r="K487">
        <f>IFERROR(VLOOKUP(C487, Merchants!$A$2:$D$41, 4, FALSE), "Merchant not found")</f>
        <v/>
      </c>
      <c r="L487">
        <f>HLOOKUP(F487, Fee_Tiers!$B$1:$E$2, 2, FALSE)</f>
        <v/>
      </c>
      <c r="M487">
        <f>IF(AND(E487&gt;5000, K487&lt;&gt;"&gt;East"), "High-Value Merchant Day", "Standard")</f>
        <v/>
      </c>
    </row>
    <row r="488">
      <c r="A488" t="inlineStr">
        <is>
          <t>TXN100486</t>
        </is>
      </c>
      <c r="B488" t="n">
        <v>44</v>
      </c>
      <c r="C488" t="n">
        <v>40</v>
      </c>
      <c r="D488" t="inlineStr">
        <is>
          <t>2026-01-19 21:24:00</t>
        </is>
      </c>
      <c r="E488" t="n">
        <v>499</v>
      </c>
      <c r="F488" t="inlineStr">
        <is>
          <t>UPI</t>
        </is>
      </c>
      <c r="G488" t="inlineStr">
        <is>
          <t>captured</t>
        </is>
      </c>
      <c r="H488" t="n">
        <v>37</v>
      </c>
      <c r="I488">
        <f>IFERROR(VLOOKUP(C488, Merchants!$A$2:$D$41, 2, FALSE), "Merchant not found")</f>
        <v/>
      </c>
      <c r="J488">
        <f>IFERROR(VLOOKUP(C488, Merchants!$A$2:$D$41, 3, FALSE), "Merchant not found")</f>
        <v/>
      </c>
      <c r="K488">
        <f>IFERROR(VLOOKUP(C488, Merchants!$A$2:$D$41, 4, FALSE), "Merchant not found")</f>
        <v/>
      </c>
      <c r="L488">
        <f>HLOOKUP(F488, Fee_Tiers!$B$1:$E$2, 2, FALSE)</f>
        <v/>
      </c>
      <c r="M488">
        <f>IF(AND(E488&gt;5000, K488&lt;&gt;"&gt;East"), "High-Value Merchant Day", "Standard")</f>
        <v/>
      </c>
    </row>
    <row r="489">
      <c r="A489" t="inlineStr">
        <is>
          <t>TXN100487</t>
        </is>
      </c>
      <c r="B489" t="n">
        <v>38</v>
      </c>
      <c r="C489" t="n">
        <v>6</v>
      </c>
      <c r="D489" t="inlineStr">
        <is>
          <t>2026-01-26 07:45:00</t>
        </is>
      </c>
      <c r="E489" t="n">
        <v>49</v>
      </c>
      <c r="F489" t="inlineStr">
        <is>
          <t>Wallet</t>
        </is>
      </c>
      <c r="G489" t="inlineStr">
        <is>
          <t>captured</t>
        </is>
      </c>
      <c r="H489" t="n">
        <v>34</v>
      </c>
      <c r="I489">
        <f>IFERROR(VLOOKUP(C489, Merchants!$A$2:$D$41, 2, FALSE), "Merchant not found")</f>
        <v/>
      </c>
      <c r="J489">
        <f>IFERROR(VLOOKUP(C489, Merchants!$A$2:$D$41, 3, FALSE), "Merchant not found")</f>
        <v/>
      </c>
      <c r="K489">
        <f>IFERROR(VLOOKUP(C489, Merchants!$A$2:$D$41, 4, FALSE), "Merchant not found")</f>
        <v/>
      </c>
      <c r="L489">
        <f>HLOOKUP(F489, Fee_Tiers!$B$1:$E$2, 2, FALSE)</f>
        <v/>
      </c>
      <c r="M489">
        <f>IF(AND(E489&gt;5000, K489&lt;&gt;"&gt;East"), "High-Value Merchant Day", "Standard")</f>
        <v/>
      </c>
    </row>
    <row r="490">
      <c r="A490" t="inlineStr">
        <is>
          <t>TXN100488</t>
        </is>
      </c>
      <c r="B490" t="n">
        <v>325</v>
      </c>
      <c r="C490" t="n">
        <v>10</v>
      </c>
      <c r="D490" t="inlineStr">
        <is>
          <t>2026-01-05 12:45:00</t>
        </is>
      </c>
      <c r="E490" t="n">
        <v>49</v>
      </c>
      <c r="F490" t="inlineStr">
        <is>
          <t>Netbanking</t>
        </is>
      </c>
      <c r="G490" t="inlineStr">
        <is>
          <t>chargeback</t>
        </is>
      </c>
      <c r="H490" t="n">
        <v>94</v>
      </c>
      <c r="I490">
        <f>IFERROR(VLOOKUP(C490, Merchants!$A$2:$D$41, 2, FALSE), "Merchant not found")</f>
        <v/>
      </c>
      <c r="J490">
        <f>IFERROR(VLOOKUP(C490, Merchants!$A$2:$D$41, 3, FALSE), "Merchant not found")</f>
        <v/>
      </c>
      <c r="K490">
        <f>IFERROR(VLOOKUP(C490, Merchants!$A$2:$D$41, 4, FALSE), "Merchant not found")</f>
        <v/>
      </c>
      <c r="L490">
        <f>HLOOKUP(F490, Fee_Tiers!$B$1:$E$2, 2, FALSE)</f>
        <v/>
      </c>
      <c r="M490">
        <f>IF(AND(E490&gt;5000, K490&lt;&gt;"&gt;East"), "High-Value Merchant Day", "Standard")</f>
        <v/>
      </c>
    </row>
    <row r="491">
      <c r="A491" t="inlineStr">
        <is>
          <t>TXN100489</t>
        </is>
      </c>
      <c r="B491" t="n">
        <v>55</v>
      </c>
      <c r="C491" t="n">
        <v>6</v>
      </c>
      <c r="D491" t="inlineStr">
        <is>
          <t>2026-01-13 10:23:00</t>
        </is>
      </c>
      <c r="E491" t="n">
        <v>1499</v>
      </c>
      <c r="F491" t="inlineStr">
        <is>
          <t>Card</t>
        </is>
      </c>
      <c r="G491" t="inlineStr">
        <is>
          <t>captured</t>
        </is>
      </c>
      <c r="H491" t="n">
        <v>0</v>
      </c>
      <c r="I491">
        <f>IFERROR(VLOOKUP(C491, Merchants!$A$2:$D$41, 2, FALSE), "Merchant not found")</f>
        <v/>
      </c>
      <c r="J491">
        <f>IFERROR(VLOOKUP(C491, Merchants!$A$2:$D$41, 3, FALSE), "Merchant not found")</f>
        <v/>
      </c>
      <c r="K491">
        <f>IFERROR(VLOOKUP(C491, Merchants!$A$2:$D$41, 4, FALSE), "Merchant not found")</f>
        <v/>
      </c>
      <c r="L491">
        <f>HLOOKUP(F491, Fee_Tiers!$B$1:$E$2, 2, FALSE)</f>
        <v/>
      </c>
      <c r="M491">
        <f>IF(AND(E491&gt;5000, K491&lt;&gt;"&gt;East"), "High-Value Merchant Day", "Standard")</f>
        <v/>
      </c>
    </row>
    <row r="492">
      <c r="A492" t="inlineStr">
        <is>
          <t>TXN100490</t>
        </is>
      </c>
      <c r="B492" t="n">
        <v>139</v>
      </c>
      <c r="C492" t="n">
        <v>7</v>
      </c>
      <c r="D492" t="inlineStr">
        <is>
          <t>2026-01-10 14:23:00</t>
        </is>
      </c>
      <c r="E492" t="n">
        <v>499</v>
      </c>
      <c r="F492" t="inlineStr">
        <is>
          <t>Card</t>
        </is>
      </c>
      <c r="G492" t="inlineStr">
        <is>
          <t>captured</t>
        </is>
      </c>
      <c r="H492" t="n">
        <v>16</v>
      </c>
      <c r="I492">
        <f>IFERROR(VLOOKUP(C492, Merchants!$A$2:$D$41, 2, FALSE), "Merchant not found")</f>
        <v/>
      </c>
      <c r="J492">
        <f>IFERROR(VLOOKUP(C492, Merchants!$A$2:$D$41, 3, FALSE), "Merchant not found")</f>
        <v/>
      </c>
      <c r="K492">
        <f>IFERROR(VLOOKUP(C492, Merchants!$A$2:$D$41, 4, FALSE), "Merchant not found")</f>
        <v/>
      </c>
      <c r="L492">
        <f>HLOOKUP(F492, Fee_Tiers!$B$1:$E$2, 2, FALSE)</f>
        <v/>
      </c>
      <c r="M492">
        <f>IF(AND(E492&gt;5000, K492&lt;&gt;"&gt;East"), "High-Value Merchant Day", "Standard")</f>
        <v/>
      </c>
    </row>
    <row r="493">
      <c r="A493" t="inlineStr">
        <is>
          <t>TXN100491</t>
        </is>
      </c>
      <c r="B493" t="n">
        <v>230</v>
      </c>
      <c r="C493" t="n">
        <v>36</v>
      </c>
      <c r="D493" t="inlineStr">
        <is>
          <t>2026-01-03 05:27:00</t>
        </is>
      </c>
      <c r="E493" t="n">
        <v>99</v>
      </c>
      <c r="F493" t="inlineStr">
        <is>
          <t>Wallet</t>
        </is>
      </c>
      <c r="G493" t="inlineStr">
        <is>
          <t>captured</t>
        </is>
      </c>
      <c r="H493" t="n">
        <v>71</v>
      </c>
      <c r="I493">
        <f>IFERROR(VLOOKUP(C493, Merchants!$A$2:$D$41, 2, FALSE), "Merchant not found")</f>
        <v/>
      </c>
      <c r="J493">
        <f>IFERROR(VLOOKUP(C493, Merchants!$A$2:$D$41, 3, FALSE), "Merchant not found")</f>
        <v/>
      </c>
      <c r="K493">
        <f>IFERROR(VLOOKUP(C493, Merchants!$A$2:$D$41, 4, FALSE), "Merchant not found")</f>
        <v/>
      </c>
      <c r="L493">
        <f>HLOOKUP(F493, Fee_Tiers!$B$1:$E$2, 2, FALSE)</f>
        <v/>
      </c>
      <c r="M493">
        <f>IF(AND(E493&gt;5000, K493&lt;&gt;"&gt;East"), "High-Value Merchant Day", "Standard")</f>
        <v/>
      </c>
    </row>
    <row r="494">
      <c r="A494" t="inlineStr">
        <is>
          <t>TXN100492</t>
        </is>
      </c>
      <c r="B494" t="n">
        <v>14</v>
      </c>
      <c r="C494" t="n">
        <v>6</v>
      </c>
      <c r="D494" t="inlineStr">
        <is>
          <t>2026-01-17 13:06:00</t>
        </is>
      </c>
      <c r="E494" t="n">
        <v>799</v>
      </c>
      <c r="F494" t="inlineStr">
        <is>
          <t>Card</t>
        </is>
      </c>
      <c r="G494" t="inlineStr">
        <is>
          <t>captured</t>
        </is>
      </c>
      <c r="H494" t="n">
        <v>45</v>
      </c>
      <c r="I494">
        <f>IFERROR(VLOOKUP(C494, Merchants!$A$2:$D$41, 2, FALSE), "Merchant not found")</f>
        <v/>
      </c>
      <c r="J494">
        <f>IFERROR(VLOOKUP(C494, Merchants!$A$2:$D$41, 3, FALSE), "Merchant not found")</f>
        <v/>
      </c>
      <c r="K494">
        <f>IFERROR(VLOOKUP(C494, Merchants!$A$2:$D$41, 4, FALSE), "Merchant not found")</f>
        <v/>
      </c>
      <c r="L494">
        <f>HLOOKUP(F494, Fee_Tiers!$B$1:$E$2, 2, FALSE)</f>
        <v/>
      </c>
      <c r="M494">
        <f>IF(AND(E494&gt;5000, K494&lt;&gt;"&gt;East"), "High-Value Merchant Day", "Standard")</f>
        <v/>
      </c>
    </row>
    <row r="495">
      <c r="A495" t="inlineStr">
        <is>
          <t>TXN100493</t>
        </is>
      </c>
      <c r="B495" t="n">
        <v>307</v>
      </c>
      <c r="C495" t="n">
        <v>21</v>
      </c>
      <c r="D495" t="inlineStr">
        <is>
          <t>2026-01-18 02:38:00</t>
        </is>
      </c>
      <c r="E495" t="n">
        <v>799</v>
      </c>
      <c r="F495" t="inlineStr">
        <is>
          <t>UPI</t>
        </is>
      </c>
      <c r="G495" t="inlineStr">
        <is>
          <t>captured</t>
        </is>
      </c>
      <c r="H495" t="n">
        <v>49</v>
      </c>
      <c r="I495">
        <f>IFERROR(VLOOKUP(C495, Merchants!$A$2:$D$41, 2, FALSE), "Merchant not found")</f>
        <v/>
      </c>
      <c r="J495">
        <f>IFERROR(VLOOKUP(C495, Merchants!$A$2:$D$41, 3, FALSE), "Merchant not found")</f>
        <v/>
      </c>
      <c r="K495">
        <f>IFERROR(VLOOKUP(C495, Merchants!$A$2:$D$41, 4, FALSE), "Merchant not found")</f>
        <v/>
      </c>
      <c r="L495">
        <f>HLOOKUP(F495, Fee_Tiers!$B$1:$E$2, 2, FALSE)</f>
        <v/>
      </c>
      <c r="M495">
        <f>IF(AND(E495&gt;5000, K495&lt;&gt;"&gt;East"), "High-Value Merchant Day", "Standard")</f>
        <v/>
      </c>
    </row>
    <row r="496">
      <c r="A496" t="inlineStr">
        <is>
          <t>TXN100494</t>
        </is>
      </c>
      <c r="B496" t="n">
        <v>199</v>
      </c>
      <c r="C496" t="n">
        <v>6</v>
      </c>
      <c r="D496" t="inlineStr">
        <is>
          <t>2026-01-01 09:26:00</t>
        </is>
      </c>
      <c r="E496" t="n">
        <v>49</v>
      </c>
      <c r="F496" t="inlineStr">
        <is>
          <t>UPI</t>
        </is>
      </c>
      <c r="G496" t="inlineStr">
        <is>
          <t>captured</t>
        </is>
      </c>
      <c r="H496" t="n">
        <v>92</v>
      </c>
      <c r="I496">
        <f>IFERROR(VLOOKUP(C496, Merchants!$A$2:$D$41, 2, FALSE), "Merchant not found")</f>
        <v/>
      </c>
      <c r="J496">
        <f>IFERROR(VLOOKUP(C496, Merchants!$A$2:$D$41, 3, FALSE), "Merchant not found")</f>
        <v/>
      </c>
      <c r="K496">
        <f>IFERROR(VLOOKUP(C496, Merchants!$A$2:$D$41, 4, FALSE), "Merchant not found")</f>
        <v/>
      </c>
      <c r="L496">
        <f>HLOOKUP(F496, Fee_Tiers!$B$1:$E$2, 2, FALSE)</f>
        <v/>
      </c>
      <c r="M496">
        <f>IF(AND(E496&gt;5000, K496&lt;&gt;"&gt;East"), "High-Value Merchant Day", "Standard")</f>
        <v/>
      </c>
    </row>
    <row r="497">
      <c r="A497" t="inlineStr">
        <is>
          <t>TXN100495</t>
        </is>
      </c>
      <c r="B497" t="n">
        <v>125</v>
      </c>
      <c r="C497" t="n">
        <v>37</v>
      </c>
      <c r="D497" t="inlineStr">
        <is>
          <t>2026-01-29 17:57:00</t>
        </is>
      </c>
      <c r="E497" t="n">
        <v>149</v>
      </c>
      <c r="F497" t="inlineStr">
        <is>
          <t>Wallet</t>
        </is>
      </c>
      <c r="G497" t="inlineStr">
        <is>
          <t>captured</t>
        </is>
      </c>
      <c r="H497" t="n">
        <v>66</v>
      </c>
      <c r="I497">
        <f>IFERROR(VLOOKUP(C497, Merchants!$A$2:$D$41, 2, FALSE), "Merchant not found")</f>
        <v/>
      </c>
      <c r="J497">
        <f>IFERROR(VLOOKUP(C497, Merchants!$A$2:$D$41, 3, FALSE), "Merchant not found")</f>
        <v/>
      </c>
      <c r="K497">
        <f>IFERROR(VLOOKUP(C497, Merchants!$A$2:$D$41, 4, FALSE), "Merchant not found")</f>
        <v/>
      </c>
      <c r="L497">
        <f>HLOOKUP(F497, Fee_Tiers!$B$1:$E$2, 2, FALSE)</f>
        <v/>
      </c>
      <c r="M497">
        <f>IF(AND(E497&gt;5000, K497&lt;&gt;"&gt;East"), "High-Value Merchant Day", "Standard")</f>
        <v/>
      </c>
    </row>
    <row r="498">
      <c r="A498" t="inlineStr">
        <is>
          <t>TXN100496</t>
        </is>
      </c>
      <c r="B498" t="n">
        <v>87</v>
      </c>
      <c r="C498" t="n">
        <v>9</v>
      </c>
      <c r="D498" t="inlineStr">
        <is>
          <t>2026-01-06 21:24:00</t>
        </is>
      </c>
      <c r="E498" t="n">
        <v>149</v>
      </c>
      <c r="F498" t="inlineStr">
        <is>
          <t>UPI</t>
        </is>
      </c>
      <c r="G498" t="inlineStr">
        <is>
          <t>captured</t>
        </is>
      </c>
      <c r="H498" t="n">
        <v>34</v>
      </c>
      <c r="I498">
        <f>IFERROR(VLOOKUP(C498, Merchants!$A$2:$D$41, 2, FALSE), "Merchant not found")</f>
        <v/>
      </c>
      <c r="J498">
        <f>IFERROR(VLOOKUP(C498, Merchants!$A$2:$D$41, 3, FALSE), "Merchant not found")</f>
        <v/>
      </c>
      <c r="K498">
        <f>IFERROR(VLOOKUP(C498, Merchants!$A$2:$D$41, 4, FALSE), "Merchant not found")</f>
        <v/>
      </c>
      <c r="L498">
        <f>HLOOKUP(F498, Fee_Tiers!$B$1:$E$2, 2, FALSE)</f>
        <v/>
      </c>
      <c r="M498">
        <f>IF(AND(E498&gt;5000, K498&lt;&gt;"&gt;East"), "High-Value Merchant Day", "Standard")</f>
        <v/>
      </c>
    </row>
    <row r="499">
      <c r="A499" t="inlineStr">
        <is>
          <t>TXN100497</t>
        </is>
      </c>
      <c r="B499" t="n">
        <v>75</v>
      </c>
      <c r="C499" t="n">
        <v>5</v>
      </c>
      <c r="D499" t="inlineStr">
        <is>
          <t>2026-01-10 08:31:00</t>
        </is>
      </c>
      <c r="E499" t="n">
        <v>99</v>
      </c>
      <c r="F499" t="inlineStr">
        <is>
          <t>UPI</t>
        </is>
      </c>
      <c r="G499" t="inlineStr">
        <is>
          <t>captured</t>
        </is>
      </c>
      <c r="H499" t="n">
        <v>21</v>
      </c>
      <c r="I499">
        <f>IFERROR(VLOOKUP(C499, Merchants!$A$2:$D$41, 2, FALSE), "Merchant not found")</f>
        <v/>
      </c>
      <c r="J499">
        <f>IFERROR(VLOOKUP(C499, Merchants!$A$2:$D$41, 3, FALSE), "Merchant not found")</f>
        <v/>
      </c>
      <c r="K499">
        <f>IFERROR(VLOOKUP(C499, Merchants!$A$2:$D$41, 4, FALSE), "Merchant not found")</f>
        <v/>
      </c>
      <c r="L499">
        <f>HLOOKUP(F499, Fee_Tiers!$B$1:$E$2, 2, FALSE)</f>
        <v/>
      </c>
      <c r="M499">
        <f>IF(AND(E499&gt;5000, K499&lt;&gt;"&gt;East"), "High-Value Merchant Day", "Standard")</f>
        <v/>
      </c>
    </row>
    <row r="500">
      <c r="A500" t="inlineStr">
        <is>
          <t>TXN100498</t>
        </is>
      </c>
      <c r="B500" t="n">
        <v>154</v>
      </c>
      <c r="C500" t="n">
        <v>31</v>
      </c>
      <c r="D500" t="inlineStr">
        <is>
          <t>2026-01-14 08:26:00</t>
        </is>
      </c>
      <c r="E500" t="n">
        <v>499</v>
      </c>
      <c r="F500" t="inlineStr">
        <is>
          <t>Wallet</t>
        </is>
      </c>
      <c r="G500" t="inlineStr">
        <is>
          <t>captured</t>
        </is>
      </c>
      <c r="H500" t="n">
        <v>100</v>
      </c>
      <c r="I500">
        <f>IFERROR(VLOOKUP(C500, Merchants!$A$2:$D$41, 2, FALSE), "Merchant not found")</f>
        <v/>
      </c>
      <c r="J500">
        <f>IFERROR(VLOOKUP(C500, Merchants!$A$2:$D$41, 3, FALSE), "Merchant not found")</f>
        <v/>
      </c>
      <c r="K500">
        <f>IFERROR(VLOOKUP(C500, Merchants!$A$2:$D$41, 4, FALSE), "Merchant not found")</f>
        <v/>
      </c>
      <c r="L500">
        <f>HLOOKUP(F500, Fee_Tiers!$B$1:$E$2, 2, FALSE)</f>
        <v/>
      </c>
      <c r="M500">
        <f>IF(AND(E500&gt;5000, K500&lt;&gt;"&gt;East"), "High-Value Merchant Day", "Standard")</f>
        <v/>
      </c>
    </row>
    <row r="501">
      <c r="A501" t="inlineStr">
        <is>
          <t>TXN100499</t>
        </is>
      </c>
      <c r="B501" t="n">
        <v>127</v>
      </c>
      <c r="C501" t="n">
        <v>32</v>
      </c>
      <c r="D501" t="inlineStr">
        <is>
          <t>2026-01-03 11:16:00</t>
        </is>
      </c>
      <c r="E501" t="n">
        <v>149</v>
      </c>
      <c r="F501" t="inlineStr">
        <is>
          <t>Card</t>
        </is>
      </c>
      <c r="G501" t="inlineStr">
        <is>
          <t>captured</t>
        </is>
      </c>
      <c r="H501" t="n">
        <v>76</v>
      </c>
      <c r="I501">
        <f>IFERROR(VLOOKUP(C501, Merchants!$A$2:$D$41, 2, FALSE), "Merchant not found")</f>
        <v/>
      </c>
      <c r="J501">
        <f>IFERROR(VLOOKUP(C501, Merchants!$A$2:$D$41, 3, FALSE), "Merchant not found")</f>
        <v/>
      </c>
      <c r="K501">
        <f>IFERROR(VLOOKUP(C501, Merchants!$A$2:$D$41, 4, FALSE), "Merchant not found")</f>
        <v/>
      </c>
      <c r="L501">
        <f>HLOOKUP(F501, Fee_Tiers!$B$1:$E$2, 2, FALSE)</f>
        <v/>
      </c>
      <c r="M501">
        <f>IF(AND(E501&gt;5000, K501&lt;&gt;"&gt;East"), "High-Value Merchant Day", "Standard")</f>
        <v/>
      </c>
    </row>
    <row r="502">
      <c r="A502" t="inlineStr">
        <is>
          <t>TXN200000</t>
        </is>
      </c>
      <c r="B502" t="n">
        <v>351</v>
      </c>
      <c r="C502" t="n">
        <v>7</v>
      </c>
      <c r="D502" t="inlineStr">
        <is>
          <t>2026-01-30 06:00:00</t>
        </is>
      </c>
      <c r="E502" t="n">
        <v>1999</v>
      </c>
      <c r="F502" t="inlineStr">
        <is>
          <t>Card</t>
        </is>
      </c>
      <c r="G502" t="inlineStr">
        <is>
          <t>chargeback</t>
        </is>
      </c>
      <c r="H502" t="n">
        <v>79</v>
      </c>
      <c r="I502">
        <f>IFERROR(VLOOKUP(C502, Merchants!$A$2:$D$41, 2, FALSE), "Merchant not found")</f>
        <v/>
      </c>
      <c r="J502">
        <f>IFERROR(VLOOKUP(C502, Merchants!$A$2:$D$41, 3, FALSE), "Merchant not found")</f>
        <v/>
      </c>
      <c r="K502">
        <f>IFERROR(VLOOKUP(C502, Merchants!$A$2:$D$41, 4, FALSE), "Merchant not found")</f>
        <v/>
      </c>
      <c r="L502">
        <f>HLOOKUP(F502, Fee_Tiers!$B$1:$E$2, 2, FALSE)</f>
        <v/>
      </c>
      <c r="M502">
        <f>IF(AND(E502&gt;5000, K502&lt;&gt;"&gt;East"), "High-Value Merchant Day", "Standard")</f>
        <v/>
      </c>
    </row>
    <row r="503">
      <c r="A503" t="inlineStr">
        <is>
          <t>TXN200001</t>
        </is>
      </c>
      <c r="B503" t="n">
        <v>352</v>
      </c>
      <c r="C503" t="n">
        <v>40</v>
      </c>
      <c r="D503" t="inlineStr">
        <is>
          <t>2026-01-11 12:00:00</t>
        </is>
      </c>
      <c r="E503" t="n">
        <v>4999</v>
      </c>
      <c r="F503" t="inlineStr">
        <is>
          <t>Card</t>
        </is>
      </c>
      <c r="G503" t="inlineStr">
        <is>
          <t>chargeback</t>
        </is>
      </c>
      <c r="H503" t="n">
        <v>95</v>
      </c>
      <c r="I503">
        <f>IFERROR(VLOOKUP(C503, Merchants!$A$2:$D$41, 2, FALSE), "Merchant not found")</f>
        <v/>
      </c>
      <c r="J503">
        <f>IFERROR(VLOOKUP(C503, Merchants!$A$2:$D$41, 3, FALSE), "Merchant not found")</f>
        <v/>
      </c>
      <c r="K503">
        <f>IFERROR(VLOOKUP(C503, Merchants!$A$2:$D$41, 4, FALSE), "Merchant not found")</f>
        <v/>
      </c>
      <c r="L503">
        <f>HLOOKUP(F503, Fee_Tiers!$B$1:$E$2, 2, FALSE)</f>
        <v/>
      </c>
      <c r="M503">
        <f>IF(AND(E503&gt;5000, K503&lt;&gt;"&gt;East"), "High-Value Merchant Day", "Standard")</f>
        <v/>
      </c>
    </row>
    <row r="504">
      <c r="A504" t="inlineStr">
        <is>
          <t>TXN200002</t>
        </is>
      </c>
      <c r="B504" t="n">
        <v>353</v>
      </c>
      <c r="C504" t="n">
        <v>28</v>
      </c>
      <c r="D504" t="inlineStr">
        <is>
          <t>2026-01-21 14:00:00</t>
        </is>
      </c>
      <c r="E504" t="n">
        <v>1999</v>
      </c>
      <c r="F504" t="inlineStr">
        <is>
          <t>Card</t>
        </is>
      </c>
      <c r="G504" t="inlineStr">
        <is>
          <t>chargeback</t>
        </is>
      </c>
      <c r="H504" t="n">
        <v>79</v>
      </c>
      <c r="I504">
        <f>IFERROR(VLOOKUP(C504, Merchants!$A$2:$D$41, 2, FALSE), "Merchant not found")</f>
        <v/>
      </c>
      <c r="J504">
        <f>IFERROR(VLOOKUP(C504, Merchants!$A$2:$D$41, 3, FALSE), "Merchant not found")</f>
        <v/>
      </c>
      <c r="K504">
        <f>IFERROR(VLOOKUP(C504, Merchants!$A$2:$D$41, 4, FALSE), "Merchant not found")</f>
        <v/>
      </c>
      <c r="L504">
        <f>HLOOKUP(F504, Fee_Tiers!$B$1:$E$2, 2, FALSE)</f>
        <v/>
      </c>
      <c r="M504">
        <f>IF(AND(E504&gt;5000, K504&lt;&gt;"&gt;East"), "High-Value Merchant Day", "Standard")</f>
        <v/>
      </c>
    </row>
    <row r="505">
      <c r="A505" t="inlineStr">
        <is>
          <t>TXN200003</t>
        </is>
      </c>
      <c r="B505" t="n">
        <v>354</v>
      </c>
      <c r="C505" t="n">
        <v>13</v>
      </c>
      <c r="D505" t="inlineStr">
        <is>
          <t>2026-01-21 19:00:00</t>
        </is>
      </c>
      <c r="E505" t="n">
        <v>4999</v>
      </c>
      <c r="F505" t="inlineStr">
        <is>
          <t>Card</t>
        </is>
      </c>
      <c r="G505" t="inlineStr">
        <is>
          <t>chargeback</t>
        </is>
      </c>
      <c r="H505" t="n">
        <v>80</v>
      </c>
      <c r="I505">
        <f>IFERROR(VLOOKUP(C505, Merchants!$A$2:$D$41, 2, FALSE), "Merchant not found")</f>
        <v/>
      </c>
      <c r="J505">
        <f>IFERROR(VLOOKUP(C505, Merchants!$A$2:$D$41, 3, FALSE), "Merchant not found")</f>
        <v/>
      </c>
      <c r="K505">
        <f>IFERROR(VLOOKUP(C505, Merchants!$A$2:$D$41, 4, FALSE), "Merchant not found")</f>
        <v/>
      </c>
      <c r="L505">
        <f>HLOOKUP(F505, Fee_Tiers!$B$1:$E$2, 2, FALSE)</f>
        <v/>
      </c>
      <c r="M505">
        <f>IF(AND(E505&gt;5000, K505&lt;&gt;"&gt;East"), "High-Value Merchant Day", "Standard")</f>
        <v/>
      </c>
    </row>
    <row r="506">
      <c r="A506" t="inlineStr">
        <is>
          <t>TXN200004</t>
        </is>
      </c>
      <c r="B506" t="n">
        <v>355</v>
      </c>
      <c r="C506" t="n">
        <v>19</v>
      </c>
      <c r="D506" t="inlineStr">
        <is>
          <t>2026-01-16 12:00:00</t>
        </is>
      </c>
      <c r="E506" t="n">
        <v>4999</v>
      </c>
      <c r="F506" t="inlineStr">
        <is>
          <t>Card</t>
        </is>
      </c>
      <c r="G506" t="inlineStr">
        <is>
          <t>chargeback</t>
        </is>
      </c>
      <c r="H506" t="n">
        <v>100</v>
      </c>
      <c r="I506">
        <f>IFERROR(VLOOKUP(C506, Merchants!$A$2:$D$41, 2, FALSE), "Merchant not found")</f>
        <v/>
      </c>
      <c r="J506">
        <f>IFERROR(VLOOKUP(C506, Merchants!$A$2:$D$41, 3, FALSE), "Merchant not found")</f>
        <v/>
      </c>
      <c r="K506">
        <f>IFERROR(VLOOKUP(C506, Merchants!$A$2:$D$41, 4, FALSE), "Merchant not found")</f>
        <v/>
      </c>
      <c r="L506">
        <f>HLOOKUP(F506, Fee_Tiers!$B$1:$E$2, 2, FALSE)</f>
        <v/>
      </c>
      <c r="M506">
        <f>IF(AND(E506&gt;5000, K506&lt;&gt;"&gt;East"), "High-Value Merchant Day", "Standard")</f>
        <v/>
      </c>
    </row>
    <row r="507">
      <c r="A507" t="inlineStr">
        <is>
          <t>TXN200005</t>
        </is>
      </c>
      <c r="B507" t="n">
        <v>356</v>
      </c>
      <c r="C507" t="n">
        <v>25</v>
      </c>
      <c r="D507" t="inlineStr">
        <is>
          <t>2026-01-29 07:00:00</t>
        </is>
      </c>
      <c r="E507" t="n">
        <v>2999</v>
      </c>
      <c r="F507" t="inlineStr">
        <is>
          <t>Card</t>
        </is>
      </c>
      <c r="G507" t="inlineStr">
        <is>
          <t>chargeback</t>
        </is>
      </c>
      <c r="H507" t="n">
        <v>96</v>
      </c>
      <c r="I507">
        <f>IFERROR(VLOOKUP(C507, Merchants!$A$2:$D$41, 2, FALSE), "Merchant not found")</f>
        <v/>
      </c>
      <c r="J507">
        <f>IFERROR(VLOOKUP(C507, Merchants!$A$2:$D$41, 3, FALSE), "Merchant not found")</f>
        <v/>
      </c>
      <c r="K507">
        <f>IFERROR(VLOOKUP(C507, Merchants!$A$2:$D$41, 4, FALSE), "Merchant not found")</f>
        <v/>
      </c>
      <c r="L507">
        <f>HLOOKUP(F507, Fee_Tiers!$B$1:$E$2, 2, FALSE)</f>
        <v/>
      </c>
      <c r="M507">
        <f>IF(AND(E507&gt;5000, K507&lt;&gt;"&gt;East"), "High-Value Merchant Day", "Standard")</f>
        <v/>
      </c>
    </row>
    <row r="508">
      <c r="A508" t="inlineStr">
        <is>
          <t>TXN200006</t>
        </is>
      </c>
      <c r="B508" t="n">
        <v>357</v>
      </c>
      <c r="C508" t="n">
        <v>37</v>
      </c>
      <c r="D508" t="inlineStr">
        <is>
          <t>2026-01-23 11:00:00</t>
        </is>
      </c>
      <c r="E508" t="n">
        <v>1999</v>
      </c>
      <c r="F508" t="inlineStr">
        <is>
          <t>Card</t>
        </is>
      </c>
      <c r="G508" t="inlineStr">
        <is>
          <t>chargeback</t>
        </is>
      </c>
      <c r="H508" t="n">
        <v>88</v>
      </c>
      <c r="I508">
        <f>IFERROR(VLOOKUP(C508, Merchants!$A$2:$D$41, 2, FALSE), "Merchant not found")</f>
        <v/>
      </c>
      <c r="J508">
        <f>IFERROR(VLOOKUP(C508, Merchants!$A$2:$D$41, 3, FALSE), "Merchant not found")</f>
        <v/>
      </c>
      <c r="K508">
        <f>IFERROR(VLOOKUP(C508, Merchants!$A$2:$D$41, 4, FALSE), "Merchant not found")</f>
        <v/>
      </c>
      <c r="L508">
        <f>HLOOKUP(F508, Fee_Tiers!$B$1:$E$2, 2, FALSE)</f>
        <v/>
      </c>
      <c r="M508">
        <f>IF(AND(E508&gt;5000, K508&lt;&gt;"&gt;East"), "High-Value Merchant Day", "Standard")</f>
        <v/>
      </c>
    </row>
    <row r="509">
      <c r="A509" t="inlineStr">
        <is>
          <t>TXN200007</t>
        </is>
      </c>
      <c r="B509" t="n">
        <v>358</v>
      </c>
      <c r="C509" t="n">
        <v>36</v>
      </c>
      <c r="D509" t="inlineStr">
        <is>
          <t>2026-01-28 05:00:00</t>
        </is>
      </c>
      <c r="E509" t="n">
        <v>999</v>
      </c>
      <c r="F509" t="inlineStr">
        <is>
          <t>Card</t>
        </is>
      </c>
      <c r="G509" t="inlineStr">
        <is>
          <t>chargeback</t>
        </is>
      </c>
      <c r="H509" t="n">
        <v>100</v>
      </c>
      <c r="I509">
        <f>IFERROR(VLOOKUP(C509, Merchants!$A$2:$D$41, 2, FALSE), "Merchant not found")</f>
        <v/>
      </c>
      <c r="J509">
        <f>IFERROR(VLOOKUP(C509, Merchants!$A$2:$D$41, 3, FALSE), "Merchant not found")</f>
        <v/>
      </c>
      <c r="K509">
        <f>IFERROR(VLOOKUP(C509, Merchants!$A$2:$D$41, 4, FALSE), "Merchant not found")</f>
        <v/>
      </c>
      <c r="L509">
        <f>HLOOKUP(F509, Fee_Tiers!$B$1:$E$2, 2, FALSE)</f>
        <v/>
      </c>
      <c r="M509">
        <f>IF(AND(E509&gt;5000, K509&lt;&gt;"&gt;East"), "High-Value Merchant Day", "Standard")</f>
        <v/>
      </c>
    </row>
    <row r="510">
      <c r="A510" t="inlineStr">
        <is>
          <t>TXN200008</t>
        </is>
      </c>
      <c r="B510" t="n">
        <v>359</v>
      </c>
      <c r="C510" t="n">
        <v>29</v>
      </c>
      <c r="D510" t="inlineStr">
        <is>
          <t>2026-01-25 22:00:00</t>
        </is>
      </c>
      <c r="E510" t="n">
        <v>2999</v>
      </c>
      <c r="F510" t="inlineStr">
        <is>
          <t>Card</t>
        </is>
      </c>
      <c r="G510" t="inlineStr">
        <is>
          <t>chargeback</t>
        </is>
      </c>
      <c r="H510" t="n">
        <v>96</v>
      </c>
      <c r="I510">
        <f>IFERROR(VLOOKUP(C510, Merchants!$A$2:$D$41, 2, FALSE), "Merchant not found")</f>
        <v/>
      </c>
      <c r="J510">
        <f>IFERROR(VLOOKUP(C510, Merchants!$A$2:$D$41, 3, FALSE), "Merchant not found")</f>
        <v/>
      </c>
      <c r="K510">
        <f>IFERROR(VLOOKUP(C510, Merchants!$A$2:$D$41, 4, FALSE), "Merchant not found")</f>
        <v/>
      </c>
      <c r="L510">
        <f>HLOOKUP(F510, Fee_Tiers!$B$1:$E$2, 2, FALSE)</f>
        <v/>
      </c>
      <c r="M510">
        <f>IF(AND(E510&gt;5000, K510&lt;&gt;"&gt;East"), "High-Value Merchant Day", "Standard")</f>
        <v/>
      </c>
    </row>
    <row r="511">
      <c r="A511" t="inlineStr">
        <is>
          <t>TXN200009</t>
        </is>
      </c>
      <c r="B511" t="n">
        <v>360</v>
      </c>
      <c r="C511" t="n">
        <v>32</v>
      </c>
      <c r="D511" t="inlineStr">
        <is>
          <t>2026-01-13 13:00:00</t>
        </is>
      </c>
      <c r="E511" t="n">
        <v>1999</v>
      </c>
      <c r="F511" t="inlineStr">
        <is>
          <t>Card</t>
        </is>
      </c>
      <c r="G511" t="inlineStr">
        <is>
          <t>chargeback</t>
        </is>
      </c>
      <c r="H511" t="n">
        <v>90</v>
      </c>
      <c r="I511">
        <f>IFERROR(VLOOKUP(C511, Merchants!$A$2:$D$41, 2, FALSE), "Merchant not found")</f>
        <v/>
      </c>
      <c r="J511">
        <f>IFERROR(VLOOKUP(C511, Merchants!$A$2:$D$41, 3, FALSE), "Merchant not found")</f>
        <v/>
      </c>
      <c r="K511">
        <f>IFERROR(VLOOKUP(C511, Merchants!$A$2:$D$41, 4, FALSE), "Merchant not found")</f>
        <v/>
      </c>
      <c r="L511">
        <f>HLOOKUP(F511, Fee_Tiers!$B$1:$E$2, 2, FALSE)</f>
        <v/>
      </c>
      <c r="M511">
        <f>IF(AND(E511&gt;5000, K511&lt;&gt;"&gt;East"), "High-Value Merchant Day", "Standard")</f>
        <v/>
      </c>
    </row>
    <row r="512">
      <c r="A512" t="inlineStr">
        <is>
          <t>TXN200010</t>
        </is>
      </c>
      <c r="B512" t="n">
        <v>361</v>
      </c>
      <c r="C512" t="n">
        <v>10</v>
      </c>
      <c r="D512" t="inlineStr">
        <is>
          <t>2026-01-20 07:00:00</t>
        </is>
      </c>
      <c r="E512" t="n">
        <v>4999</v>
      </c>
      <c r="F512" t="inlineStr">
        <is>
          <t>Card</t>
        </is>
      </c>
      <c r="G512" t="inlineStr">
        <is>
          <t>chargeback</t>
        </is>
      </c>
      <c r="H512" t="n">
        <v>95</v>
      </c>
      <c r="I512">
        <f>IFERROR(VLOOKUP(C512, Merchants!$A$2:$D$41, 2, FALSE), "Merchant not found")</f>
        <v/>
      </c>
      <c r="J512">
        <f>IFERROR(VLOOKUP(C512, Merchants!$A$2:$D$41, 3, FALSE), "Merchant not found")</f>
        <v/>
      </c>
      <c r="K512">
        <f>IFERROR(VLOOKUP(C512, Merchants!$A$2:$D$41, 4, FALSE), "Merchant not found")</f>
        <v/>
      </c>
      <c r="L512">
        <f>HLOOKUP(F512, Fee_Tiers!$B$1:$E$2, 2, FALSE)</f>
        <v/>
      </c>
      <c r="M512">
        <f>IF(AND(E512&gt;5000, K512&lt;&gt;"&gt;East"), "High-Value Merchant Day", "Standard")</f>
        <v/>
      </c>
    </row>
    <row r="513">
      <c r="A513" t="inlineStr">
        <is>
          <t>TXN200011</t>
        </is>
      </c>
      <c r="B513" t="n">
        <v>362</v>
      </c>
      <c r="C513" t="n">
        <v>39</v>
      </c>
      <c r="D513" t="inlineStr">
        <is>
          <t>2026-01-23 02:00:00</t>
        </is>
      </c>
      <c r="E513" t="n">
        <v>4999</v>
      </c>
      <c r="F513" t="inlineStr">
        <is>
          <t>Card</t>
        </is>
      </c>
      <c r="G513" t="inlineStr">
        <is>
          <t>chargeback</t>
        </is>
      </c>
      <c r="H513" t="n">
        <v>88</v>
      </c>
      <c r="I513">
        <f>IFERROR(VLOOKUP(C513, Merchants!$A$2:$D$41, 2, FALSE), "Merchant not found")</f>
        <v/>
      </c>
      <c r="J513">
        <f>IFERROR(VLOOKUP(C513, Merchants!$A$2:$D$41, 3, FALSE), "Merchant not found")</f>
        <v/>
      </c>
      <c r="K513">
        <f>IFERROR(VLOOKUP(C513, Merchants!$A$2:$D$41, 4, FALSE), "Merchant not found")</f>
        <v/>
      </c>
      <c r="L513">
        <f>HLOOKUP(F513, Fee_Tiers!$B$1:$E$2, 2, FALSE)</f>
        <v/>
      </c>
      <c r="M513">
        <f>IF(AND(E513&gt;5000, K513&lt;&gt;"&gt;East"), "High-Value Merchant Day", "Standard")</f>
        <v/>
      </c>
    </row>
    <row r="514">
      <c r="A514" t="inlineStr">
        <is>
          <t>TXN200012</t>
        </is>
      </c>
      <c r="B514" t="n">
        <v>363</v>
      </c>
      <c r="C514" t="n">
        <v>27</v>
      </c>
      <c r="D514" t="inlineStr">
        <is>
          <t>2026-01-23 17:00:00</t>
        </is>
      </c>
      <c r="E514" t="n">
        <v>999</v>
      </c>
      <c r="F514" t="inlineStr">
        <is>
          <t>Card</t>
        </is>
      </c>
      <c r="G514" t="inlineStr">
        <is>
          <t>chargeback</t>
        </is>
      </c>
      <c r="H514" t="n">
        <v>95</v>
      </c>
      <c r="I514">
        <f>IFERROR(VLOOKUP(C514, Merchants!$A$2:$D$41, 2, FALSE), "Merchant not found")</f>
        <v/>
      </c>
      <c r="J514">
        <f>IFERROR(VLOOKUP(C514, Merchants!$A$2:$D$41, 3, FALSE), "Merchant not found")</f>
        <v/>
      </c>
      <c r="K514">
        <f>IFERROR(VLOOKUP(C514, Merchants!$A$2:$D$41, 4, FALSE), "Merchant not found")</f>
        <v/>
      </c>
      <c r="L514">
        <f>HLOOKUP(F514, Fee_Tiers!$B$1:$E$2, 2, FALSE)</f>
        <v/>
      </c>
      <c r="M514">
        <f>IF(AND(E514&gt;5000, K514&lt;&gt;"&gt;East"), "High-Value Merchant Day", "Standard")</f>
        <v/>
      </c>
    </row>
    <row r="515">
      <c r="A515" t="inlineStr">
        <is>
          <t>TXN200013</t>
        </is>
      </c>
      <c r="B515" t="n">
        <v>364</v>
      </c>
      <c r="C515" t="n">
        <v>39</v>
      </c>
      <c r="D515" t="inlineStr">
        <is>
          <t>2026-01-22 22:00:00</t>
        </is>
      </c>
      <c r="E515" t="n">
        <v>999</v>
      </c>
      <c r="F515" t="inlineStr">
        <is>
          <t>Card</t>
        </is>
      </c>
      <c r="G515" t="inlineStr">
        <is>
          <t>chargeback</t>
        </is>
      </c>
      <c r="H515" t="n">
        <v>73</v>
      </c>
      <c r="I515">
        <f>IFERROR(VLOOKUP(C515, Merchants!$A$2:$D$41, 2, FALSE), "Merchant not found")</f>
        <v/>
      </c>
      <c r="J515">
        <f>IFERROR(VLOOKUP(C515, Merchants!$A$2:$D$41, 3, FALSE), "Merchant not found")</f>
        <v/>
      </c>
      <c r="K515">
        <f>IFERROR(VLOOKUP(C515, Merchants!$A$2:$D$41, 4, FALSE), "Merchant not found")</f>
        <v/>
      </c>
      <c r="L515">
        <f>HLOOKUP(F515, Fee_Tiers!$B$1:$E$2, 2, FALSE)</f>
        <v/>
      </c>
      <c r="M515">
        <f>IF(AND(E515&gt;5000, K515&lt;&gt;"&gt;East"), "High-Value Merchant Day", "Standard")</f>
        <v/>
      </c>
    </row>
    <row r="516">
      <c r="A516" t="inlineStr">
        <is>
          <t>TXN200014</t>
        </is>
      </c>
      <c r="B516" t="n">
        <v>365</v>
      </c>
      <c r="C516" t="n">
        <v>23</v>
      </c>
      <c r="D516" t="inlineStr">
        <is>
          <t>2026-01-18 21:00:00</t>
        </is>
      </c>
      <c r="E516" t="n">
        <v>1999</v>
      </c>
      <c r="F516" t="inlineStr">
        <is>
          <t>Card</t>
        </is>
      </c>
      <c r="G516" t="inlineStr">
        <is>
          <t>chargeback</t>
        </is>
      </c>
      <c r="H516" t="n">
        <v>90</v>
      </c>
      <c r="I516">
        <f>IFERROR(VLOOKUP(C516, Merchants!$A$2:$D$41, 2, FALSE), "Merchant not found")</f>
        <v/>
      </c>
      <c r="J516">
        <f>IFERROR(VLOOKUP(C516, Merchants!$A$2:$D$41, 3, FALSE), "Merchant not found")</f>
        <v/>
      </c>
      <c r="K516">
        <f>IFERROR(VLOOKUP(C516, Merchants!$A$2:$D$41, 4, FALSE), "Merchant not found")</f>
        <v/>
      </c>
      <c r="L516">
        <f>HLOOKUP(F516, Fee_Tiers!$B$1:$E$2, 2, FALSE)</f>
        <v/>
      </c>
      <c r="M516">
        <f>IF(AND(E516&gt;5000, K516&lt;&gt;"&gt;East"), "High-Value Merchant Day", "Standard")</f>
        <v/>
      </c>
    </row>
    <row r="517">
      <c r="A517" t="inlineStr">
        <is>
          <t>TXN300000</t>
        </is>
      </c>
      <c r="B517" t="n">
        <v>314</v>
      </c>
      <c r="C517" t="n">
        <v>26</v>
      </c>
      <c r="D517" t="inlineStr">
        <is>
          <t>2026-01-02 18:00:00</t>
        </is>
      </c>
      <c r="E517" t="n">
        <v>399</v>
      </c>
      <c r="F517" t="inlineStr">
        <is>
          <t>Card</t>
        </is>
      </c>
      <c r="G517" t="inlineStr">
        <is>
          <t>failed</t>
        </is>
      </c>
      <c r="H517" t="n">
        <v>87</v>
      </c>
      <c r="I517">
        <f>IFERROR(VLOOKUP(C517, Merchants!$A$2:$D$41, 2, FALSE), "Merchant not found")</f>
        <v/>
      </c>
      <c r="J517">
        <f>IFERROR(VLOOKUP(C517, Merchants!$A$2:$D$41, 3, FALSE), "Merchant not found")</f>
        <v/>
      </c>
      <c r="K517">
        <f>IFERROR(VLOOKUP(C517, Merchants!$A$2:$D$41, 4, FALSE), "Merchant not found")</f>
        <v/>
      </c>
      <c r="L517">
        <f>HLOOKUP(F517, Fee_Tiers!$B$1:$E$2, 2, FALSE)</f>
        <v/>
      </c>
      <c r="M517">
        <f>IF(AND(E517&gt;5000, K517&lt;&gt;"&gt;East"), "High-Value Merchant Day", "Standard")</f>
        <v/>
      </c>
    </row>
    <row r="518">
      <c r="A518" t="inlineStr">
        <is>
          <t>TXN300001</t>
        </is>
      </c>
      <c r="B518" t="n">
        <v>314</v>
      </c>
      <c r="C518" t="n">
        <v>7</v>
      </c>
      <c r="D518" t="inlineStr">
        <is>
          <t>2026-01-02 18:01:00</t>
        </is>
      </c>
      <c r="E518" t="n">
        <v>299</v>
      </c>
      <c r="F518" t="inlineStr">
        <is>
          <t>Card</t>
        </is>
      </c>
      <c r="G518" t="inlineStr">
        <is>
          <t>failed</t>
        </is>
      </c>
      <c r="H518" t="n">
        <v>66</v>
      </c>
      <c r="I518">
        <f>IFERROR(VLOOKUP(C518, Merchants!$A$2:$D$41, 2, FALSE), "Merchant not found")</f>
        <v/>
      </c>
      <c r="J518">
        <f>IFERROR(VLOOKUP(C518, Merchants!$A$2:$D$41, 3, FALSE), "Merchant not found")</f>
        <v/>
      </c>
      <c r="K518">
        <f>IFERROR(VLOOKUP(C518, Merchants!$A$2:$D$41, 4, FALSE), "Merchant not found")</f>
        <v/>
      </c>
      <c r="L518">
        <f>HLOOKUP(F518, Fee_Tiers!$B$1:$E$2, 2, FALSE)</f>
        <v/>
      </c>
      <c r="M518">
        <f>IF(AND(E518&gt;5000, K518&lt;&gt;"&gt;East"), "High-Value Merchant Day", "Standard")</f>
        <v/>
      </c>
    </row>
    <row r="519">
      <c r="A519" t="inlineStr">
        <is>
          <t>TXN300002</t>
        </is>
      </c>
      <c r="B519" t="n">
        <v>314</v>
      </c>
      <c r="C519" t="n">
        <v>17</v>
      </c>
      <c r="D519" t="inlineStr">
        <is>
          <t>2026-01-02 18:02:00</t>
        </is>
      </c>
      <c r="E519" t="n">
        <v>299</v>
      </c>
      <c r="F519" t="inlineStr">
        <is>
          <t>Card</t>
        </is>
      </c>
      <c r="G519" t="inlineStr">
        <is>
          <t>failed</t>
        </is>
      </c>
      <c r="H519" t="n">
        <v>92</v>
      </c>
      <c r="I519">
        <f>IFERROR(VLOOKUP(C519, Merchants!$A$2:$D$41, 2, FALSE), "Merchant not found")</f>
        <v/>
      </c>
      <c r="J519">
        <f>IFERROR(VLOOKUP(C519, Merchants!$A$2:$D$41, 3, FALSE), "Merchant not found")</f>
        <v/>
      </c>
      <c r="K519">
        <f>IFERROR(VLOOKUP(C519, Merchants!$A$2:$D$41, 4, FALSE), "Merchant not found")</f>
        <v/>
      </c>
      <c r="L519">
        <f>HLOOKUP(F519, Fee_Tiers!$B$1:$E$2, 2, FALSE)</f>
        <v/>
      </c>
      <c r="M519">
        <f>IF(AND(E519&gt;5000, K519&lt;&gt;"&gt;East"), "High-Value Merchant Day", "Standard")</f>
        <v/>
      </c>
    </row>
    <row r="520">
      <c r="A520" t="inlineStr">
        <is>
          <t>TXN300003</t>
        </is>
      </c>
      <c r="B520" t="n">
        <v>314</v>
      </c>
      <c r="C520" t="n">
        <v>34</v>
      </c>
      <c r="D520" t="inlineStr">
        <is>
          <t>2026-01-02 18:03:00</t>
        </is>
      </c>
      <c r="E520" t="n">
        <v>499</v>
      </c>
      <c r="F520" t="inlineStr">
        <is>
          <t>Card</t>
        </is>
      </c>
      <c r="G520" t="inlineStr">
        <is>
          <t>captured</t>
        </is>
      </c>
      <c r="H520" t="n">
        <v>74</v>
      </c>
      <c r="I520">
        <f>IFERROR(VLOOKUP(C520, Merchants!$A$2:$D$41, 2, FALSE), "Merchant not found")</f>
        <v/>
      </c>
      <c r="J520">
        <f>IFERROR(VLOOKUP(C520, Merchants!$A$2:$D$41, 3, FALSE), "Merchant not found")</f>
        <v/>
      </c>
      <c r="K520">
        <f>IFERROR(VLOOKUP(C520, Merchants!$A$2:$D$41, 4, FALSE), "Merchant not found")</f>
        <v/>
      </c>
      <c r="L520">
        <f>HLOOKUP(F520, Fee_Tiers!$B$1:$E$2, 2, FALSE)</f>
        <v/>
      </c>
      <c r="M520">
        <f>IF(AND(E520&gt;5000, K520&lt;&gt;"&gt;East"), "High-Value Merchant Day", "Standard")</f>
        <v/>
      </c>
    </row>
    <row r="521">
      <c r="A521" t="inlineStr">
        <is>
          <t>TXN300004</t>
        </is>
      </c>
      <c r="B521" t="n">
        <v>229</v>
      </c>
      <c r="C521" t="n">
        <v>30</v>
      </c>
      <c r="D521" t="inlineStr">
        <is>
          <t>2026-01-12 12:00:00</t>
        </is>
      </c>
      <c r="E521" t="n">
        <v>499</v>
      </c>
      <c r="F521" t="inlineStr">
        <is>
          <t>Card</t>
        </is>
      </c>
      <c r="G521" t="inlineStr">
        <is>
          <t>failed</t>
        </is>
      </c>
      <c r="H521" t="n">
        <v>92</v>
      </c>
      <c r="I521">
        <f>IFERROR(VLOOKUP(C521, Merchants!$A$2:$D$41, 2, FALSE), "Merchant not found")</f>
        <v/>
      </c>
      <c r="J521">
        <f>IFERROR(VLOOKUP(C521, Merchants!$A$2:$D$41, 3, FALSE), "Merchant not found")</f>
        <v/>
      </c>
      <c r="K521">
        <f>IFERROR(VLOOKUP(C521, Merchants!$A$2:$D$41, 4, FALSE), "Merchant not found")</f>
        <v/>
      </c>
      <c r="L521">
        <f>HLOOKUP(F521, Fee_Tiers!$B$1:$E$2, 2, FALSE)</f>
        <v/>
      </c>
      <c r="M521">
        <f>IF(AND(E521&gt;5000, K521&lt;&gt;"&gt;East"), "High-Value Merchant Day", "Standard")</f>
        <v/>
      </c>
    </row>
    <row r="522">
      <c r="A522" t="inlineStr">
        <is>
          <t>TXN300005</t>
        </is>
      </c>
      <c r="B522" t="n">
        <v>229</v>
      </c>
      <c r="C522" t="n">
        <v>10</v>
      </c>
      <c r="D522" t="inlineStr">
        <is>
          <t>2026-01-12 12:01:00</t>
        </is>
      </c>
      <c r="E522" t="n">
        <v>399</v>
      </c>
      <c r="F522" t="inlineStr">
        <is>
          <t>Card</t>
        </is>
      </c>
      <c r="G522" t="inlineStr">
        <is>
          <t>failed</t>
        </is>
      </c>
      <c r="H522" t="n">
        <v>61</v>
      </c>
      <c r="I522">
        <f>IFERROR(VLOOKUP(C522, Merchants!$A$2:$D$41, 2, FALSE), "Merchant not found")</f>
        <v/>
      </c>
      <c r="J522">
        <f>IFERROR(VLOOKUP(C522, Merchants!$A$2:$D$41, 3, FALSE), "Merchant not found")</f>
        <v/>
      </c>
      <c r="K522">
        <f>IFERROR(VLOOKUP(C522, Merchants!$A$2:$D$41, 4, FALSE), "Merchant not found")</f>
        <v/>
      </c>
      <c r="L522">
        <f>HLOOKUP(F522, Fee_Tiers!$B$1:$E$2, 2, FALSE)</f>
        <v/>
      </c>
      <c r="M522">
        <f>IF(AND(E522&gt;5000, K522&lt;&gt;"&gt;East"), "High-Value Merchant Day", "Standard")</f>
        <v/>
      </c>
    </row>
    <row r="523">
      <c r="A523" t="inlineStr">
        <is>
          <t>TXN300006</t>
        </is>
      </c>
      <c r="B523" t="n">
        <v>229</v>
      </c>
      <c r="C523" t="n">
        <v>31</v>
      </c>
      <c r="D523" t="inlineStr">
        <is>
          <t>2026-01-12 12:02:00</t>
        </is>
      </c>
      <c r="E523" t="n">
        <v>299</v>
      </c>
      <c r="F523" t="inlineStr">
        <is>
          <t>Card</t>
        </is>
      </c>
      <c r="G523" t="inlineStr">
        <is>
          <t>failed</t>
        </is>
      </c>
      <c r="H523" t="n">
        <v>78</v>
      </c>
      <c r="I523">
        <f>IFERROR(VLOOKUP(C523, Merchants!$A$2:$D$41, 2, FALSE), "Merchant not found")</f>
        <v/>
      </c>
      <c r="J523">
        <f>IFERROR(VLOOKUP(C523, Merchants!$A$2:$D$41, 3, FALSE), "Merchant not found")</f>
        <v/>
      </c>
      <c r="K523">
        <f>IFERROR(VLOOKUP(C523, Merchants!$A$2:$D$41, 4, FALSE), "Merchant not found")</f>
        <v/>
      </c>
      <c r="L523">
        <f>HLOOKUP(F523, Fee_Tiers!$B$1:$E$2, 2, FALSE)</f>
        <v/>
      </c>
      <c r="M523">
        <f>IF(AND(E523&gt;5000, K523&lt;&gt;"&gt;East"), "High-Value Merchant Day", "Standard")</f>
        <v/>
      </c>
    </row>
    <row r="524">
      <c r="A524" t="inlineStr">
        <is>
          <t>TXN300007</t>
        </is>
      </c>
      <c r="B524" t="n">
        <v>229</v>
      </c>
      <c r="C524" t="n">
        <v>27</v>
      </c>
      <c r="D524" t="inlineStr">
        <is>
          <t>2026-01-12 12:03:00</t>
        </is>
      </c>
      <c r="E524" t="n">
        <v>299</v>
      </c>
      <c r="F524" t="inlineStr">
        <is>
          <t>Card</t>
        </is>
      </c>
      <c r="G524" t="inlineStr">
        <is>
          <t>captured</t>
        </is>
      </c>
      <c r="H524" t="n">
        <v>67</v>
      </c>
      <c r="I524">
        <f>IFERROR(VLOOKUP(C524, Merchants!$A$2:$D$41, 2, FALSE), "Merchant not found")</f>
        <v/>
      </c>
      <c r="J524">
        <f>IFERROR(VLOOKUP(C524, Merchants!$A$2:$D$41, 3, FALSE), "Merchant not found")</f>
        <v/>
      </c>
      <c r="K524">
        <f>IFERROR(VLOOKUP(C524, Merchants!$A$2:$D$41, 4, FALSE), "Merchant not found")</f>
        <v/>
      </c>
      <c r="L524">
        <f>HLOOKUP(F524, Fee_Tiers!$B$1:$E$2, 2, FALSE)</f>
        <v/>
      </c>
      <c r="M524">
        <f>IF(AND(E524&gt;5000, K524&lt;&gt;"&gt;East"), "High-Value Merchant Day", "Standard")</f>
        <v/>
      </c>
    </row>
    <row r="525">
      <c r="A525" t="inlineStr">
        <is>
          <t>TXN300008</t>
        </is>
      </c>
      <c r="B525" t="n">
        <v>73</v>
      </c>
      <c r="C525" t="n">
        <v>22</v>
      </c>
      <c r="D525" t="inlineStr">
        <is>
          <t>2026-01-12 09:00:00</t>
        </is>
      </c>
      <c r="E525" t="n">
        <v>399</v>
      </c>
      <c r="F525" t="inlineStr">
        <is>
          <t>Card</t>
        </is>
      </c>
      <c r="G525" t="inlineStr">
        <is>
          <t>failed</t>
        </is>
      </c>
      <c r="H525" t="n">
        <v>73</v>
      </c>
      <c r="I525">
        <f>IFERROR(VLOOKUP(C525, Merchants!$A$2:$D$41, 2, FALSE), "Merchant not found")</f>
        <v/>
      </c>
      <c r="J525">
        <f>IFERROR(VLOOKUP(C525, Merchants!$A$2:$D$41, 3, FALSE), "Merchant not found")</f>
        <v/>
      </c>
      <c r="K525">
        <f>IFERROR(VLOOKUP(C525, Merchants!$A$2:$D$41, 4, FALSE), "Merchant not found")</f>
        <v/>
      </c>
      <c r="L525">
        <f>HLOOKUP(F525, Fee_Tiers!$B$1:$E$2, 2, FALSE)</f>
        <v/>
      </c>
      <c r="M525">
        <f>IF(AND(E525&gt;5000, K525&lt;&gt;"&gt;East"), "High-Value Merchant Day", "Standard")</f>
        <v/>
      </c>
    </row>
    <row r="526">
      <c r="A526" t="inlineStr">
        <is>
          <t>TXN300009</t>
        </is>
      </c>
      <c r="B526" t="n">
        <v>73</v>
      </c>
      <c r="C526" t="n">
        <v>34</v>
      </c>
      <c r="D526" t="inlineStr">
        <is>
          <t>2026-01-12 09:01:00</t>
        </is>
      </c>
      <c r="E526" t="n">
        <v>399</v>
      </c>
      <c r="F526" t="inlineStr">
        <is>
          <t>Card</t>
        </is>
      </c>
      <c r="G526" t="inlineStr">
        <is>
          <t>failed</t>
        </is>
      </c>
      <c r="H526" t="n">
        <v>82</v>
      </c>
      <c r="I526">
        <f>IFERROR(VLOOKUP(C526, Merchants!$A$2:$D$41, 2, FALSE), "Merchant not found")</f>
        <v/>
      </c>
      <c r="J526">
        <f>IFERROR(VLOOKUP(C526, Merchants!$A$2:$D$41, 3, FALSE), "Merchant not found")</f>
        <v/>
      </c>
      <c r="K526">
        <f>IFERROR(VLOOKUP(C526, Merchants!$A$2:$D$41, 4, FALSE), "Merchant not found")</f>
        <v/>
      </c>
      <c r="L526">
        <f>HLOOKUP(F526, Fee_Tiers!$B$1:$E$2, 2, FALSE)</f>
        <v/>
      </c>
      <c r="M526">
        <f>IF(AND(E526&gt;5000, K526&lt;&gt;"&gt;East"), "High-Value Merchant Day", "Standard")</f>
        <v/>
      </c>
    </row>
    <row r="527">
      <c r="A527" t="inlineStr">
        <is>
          <t>TXN300010</t>
        </is>
      </c>
      <c r="B527" t="n">
        <v>73</v>
      </c>
      <c r="C527" t="n">
        <v>31</v>
      </c>
      <c r="D527" t="inlineStr">
        <is>
          <t>2026-01-12 09:02:00</t>
        </is>
      </c>
      <c r="E527" t="n">
        <v>299</v>
      </c>
      <c r="F527" t="inlineStr">
        <is>
          <t>Card</t>
        </is>
      </c>
      <c r="G527" t="inlineStr">
        <is>
          <t>failed</t>
        </is>
      </c>
      <c r="H527" t="n">
        <v>88</v>
      </c>
      <c r="I527">
        <f>IFERROR(VLOOKUP(C527, Merchants!$A$2:$D$41, 2, FALSE), "Merchant not found")</f>
        <v/>
      </c>
      <c r="J527">
        <f>IFERROR(VLOOKUP(C527, Merchants!$A$2:$D$41, 3, FALSE), "Merchant not found")</f>
        <v/>
      </c>
      <c r="K527">
        <f>IFERROR(VLOOKUP(C527, Merchants!$A$2:$D$41, 4, FALSE), "Merchant not found")</f>
        <v/>
      </c>
      <c r="L527">
        <f>HLOOKUP(F527, Fee_Tiers!$B$1:$E$2, 2, FALSE)</f>
        <v/>
      </c>
      <c r="M527">
        <f>IF(AND(E527&gt;5000, K527&lt;&gt;"&gt;East"), "High-Value Merchant Day", "Standard")</f>
        <v/>
      </c>
    </row>
    <row r="528">
      <c r="A528" t="inlineStr">
        <is>
          <t>TXN300011</t>
        </is>
      </c>
      <c r="B528" t="n">
        <v>73</v>
      </c>
      <c r="C528" t="n">
        <v>29</v>
      </c>
      <c r="D528" t="inlineStr">
        <is>
          <t>2026-01-12 09:03:00</t>
        </is>
      </c>
      <c r="E528" t="n">
        <v>399</v>
      </c>
      <c r="F528" t="inlineStr">
        <is>
          <t>Card</t>
        </is>
      </c>
      <c r="G528" t="inlineStr">
        <is>
          <t>captured</t>
        </is>
      </c>
      <c r="H528" t="n">
        <v>64</v>
      </c>
      <c r="I528">
        <f>IFERROR(VLOOKUP(C528, Merchants!$A$2:$D$41, 2, FALSE), "Merchant not found")</f>
        <v/>
      </c>
      <c r="J528">
        <f>IFERROR(VLOOKUP(C528, Merchants!$A$2:$D$41, 3, FALSE), "Merchant not found")</f>
        <v/>
      </c>
      <c r="K528">
        <f>IFERROR(VLOOKUP(C528, Merchants!$A$2:$D$41, 4, FALSE), "Merchant not found")</f>
        <v/>
      </c>
      <c r="L528">
        <f>HLOOKUP(F528, Fee_Tiers!$B$1:$E$2, 2, FALSE)</f>
        <v/>
      </c>
      <c r="M528">
        <f>IF(AND(E528&gt;5000, K528&lt;&gt;"&gt;East"), "High-Value Merchant Day", "Standard")</f>
        <v/>
      </c>
    </row>
    <row r="529">
      <c r="A529" t="inlineStr">
        <is>
          <t>TXN300012</t>
        </is>
      </c>
      <c r="B529" t="n">
        <v>154</v>
      </c>
      <c r="C529" t="n">
        <v>8</v>
      </c>
      <c r="D529" t="inlineStr">
        <is>
          <t>2026-01-02 22:00:00</t>
        </is>
      </c>
      <c r="E529" t="n">
        <v>299</v>
      </c>
      <c r="F529" t="inlineStr">
        <is>
          <t>Card</t>
        </is>
      </c>
      <c r="G529" t="inlineStr">
        <is>
          <t>failed</t>
        </is>
      </c>
      <c r="H529" t="n">
        <v>81</v>
      </c>
      <c r="I529">
        <f>IFERROR(VLOOKUP(C529, Merchants!$A$2:$D$41, 2, FALSE), "Merchant not found")</f>
        <v/>
      </c>
      <c r="J529">
        <f>IFERROR(VLOOKUP(C529, Merchants!$A$2:$D$41, 3, FALSE), "Merchant not found")</f>
        <v/>
      </c>
      <c r="K529">
        <f>IFERROR(VLOOKUP(C529, Merchants!$A$2:$D$41, 4, FALSE), "Merchant not found")</f>
        <v/>
      </c>
      <c r="L529">
        <f>HLOOKUP(F529, Fee_Tiers!$B$1:$E$2, 2, FALSE)</f>
        <v/>
      </c>
      <c r="M529">
        <f>IF(AND(E529&gt;5000, K529&lt;&gt;"&gt;East"), "High-Value Merchant Day", "Standard")</f>
        <v/>
      </c>
    </row>
    <row r="530">
      <c r="A530" t="inlineStr">
        <is>
          <t>TXN300013</t>
        </is>
      </c>
      <c r="B530" t="n">
        <v>154</v>
      </c>
      <c r="C530" t="n">
        <v>7</v>
      </c>
      <c r="D530" t="inlineStr">
        <is>
          <t>2026-01-02 22:01:00</t>
        </is>
      </c>
      <c r="E530" t="n">
        <v>499</v>
      </c>
      <c r="F530" t="inlineStr">
        <is>
          <t>Card</t>
        </is>
      </c>
      <c r="G530" t="inlineStr">
        <is>
          <t>failed</t>
        </is>
      </c>
      <c r="H530" t="n">
        <v>70</v>
      </c>
      <c r="I530">
        <f>IFERROR(VLOOKUP(C530, Merchants!$A$2:$D$41, 2, FALSE), "Merchant not found")</f>
        <v/>
      </c>
      <c r="J530">
        <f>IFERROR(VLOOKUP(C530, Merchants!$A$2:$D$41, 3, FALSE), "Merchant not found")</f>
        <v/>
      </c>
      <c r="K530">
        <f>IFERROR(VLOOKUP(C530, Merchants!$A$2:$D$41, 4, FALSE), "Merchant not found")</f>
        <v/>
      </c>
      <c r="L530">
        <f>HLOOKUP(F530, Fee_Tiers!$B$1:$E$2, 2, FALSE)</f>
        <v/>
      </c>
      <c r="M530">
        <f>IF(AND(E530&gt;5000, K530&lt;&gt;"&gt;East"), "High-Value Merchant Day", "Standard")</f>
        <v/>
      </c>
    </row>
    <row r="531">
      <c r="A531" t="inlineStr">
        <is>
          <t>TXN300014</t>
        </is>
      </c>
      <c r="B531" t="n">
        <v>154</v>
      </c>
      <c r="C531" t="n">
        <v>16</v>
      </c>
      <c r="D531" t="inlineStr">
        <is>
          <t>2026-01-02 22:02:00</t>
        </is>
      </c>
      <c r="E531" t="n">
        <v>499</v>
      </c>
      <c r="F531" t="inlineStr">
        <is>
          <t>Card</t>
        </is>
      </c>
      <c r="G531" t="inlineStr">
        <is>
          <t>failed</t>
        </is>
      </c>
      <c r="H531" t="n">
        <v>71</v>
      </c>
      <c r="I531">
        <f>IFERROR(VLOOKUP(C531, Merchants!$A$2:$D$41, 2, FALSE), "Merchant not found")</f>
        <v/>
      </c>
      <c r="J531">
        <f>IFERROR(VLOOKUP(C531, Merchants!$A$2:$D$41, 3, FALSE), "Merchant not found")</f>
        <v/>
      </c>
      <c r="K531">
        <f>IFERROR(VLOOKUP(C531, Merchants!$A$2:$D$41, 4, FALSE), "Merchant not found")</f>
        <v/>
      </c>
      <c r="L531">
        <f>HLOOKUP(F531, Fee_Tiers!$B$1:$E$2, 2, FALSE)</f>
        <v/>
      </c>
      <c r="M531">
        <f>IF(AND(E531&gt;5000, K531&lt;&gt;"&gt;East"), "High-Value Merchant Day", "Standard")</f>
        <v/>
      </c>
    </row>
    <row r="532">
      <c r="A532" t="inlineStr">
        <is>
          <t>TXN300015</t>
        </is>
      </c>
      <c r="B532" t="n">
        <v>154</v>
      </c>
      <c r="C532" t="n">
        <v>36</v>
      </c>
      <c r="D532" t="inlineStr">
        <is>
          <t>2026-01-02 22:03:00</t>
        </is>
      </c>
      <c r="E532" t="n">
        <v>299</v>
      </c>
      <c r="F532" t="inlineStr">
        <is>
          <t>Card</t>
        </is>
      </c>
      <c r="G532" t="inlineStr">
        <is>
          <t>captured</t>
        </is>
      </c>
      <c r="H532" t="n">
        <v>81</v>
      </c>
      <c r="I532">
        <f>IFERROR(VLOOKUP(C532, Merchants!$A$2:$D$41, 2, FALSE), "Merchant not found")</f>
        <v/>
      </c>
      <c r="J532">
        <f>IFERROR(VLOOKUP(C532, Merchants!$A$2:$D$41, 3, FALSE), "Merchant not found")</f>
        <v/>
      </c>
      <c r="K532">
        <f>IFERROR(VLOOKUP(C532, Merchants!$A$2:$D$41, 4, FALSE), "Merchant not found")</f>
        <v/>
      </c>
      <c r="L532">
        <f>HLOOKUP(F532, Fee_Tiers!$B$1:$E$2, 2, FALSE)</f>
        <v/>
      </c>
      <c r="M532">
        <f>IF(AND(E532&gt;5000, K532&lt;&gt;"&gt;East"), "High-Value Merchant Day", "Standard")</f>
        <v/>
      </c>
    </row>
    <row r="533">
      <c r="A533" t="inlineStr">
        <is>
          <t>TXN300016</t>
        </is>
      </c>
      <c r="B533" t="n">
        <v>287</v>
      </c>
      <c r="C533" t="n">
        <v>15</v>
      </c>
      <c r="D533" t="inlineStr">
        <is>
          <t>2026-01-14 14:00:00</t>
        </is>
      </c>
      <c r="E533" t="n">
        <v>399</v>
      </c>
      <c r="F533" t="inlineStr">
        <is>
          <t>Card</t>
        </is>
      </c>
      <c r="G533" t="inlineStr">
        <is>
          <t>failed</t>
        </is>
      </c>
      <c r="H533" t="n">
        <v>71</v>
      </c>
      <c r="I533">
        <f>IFERROR(VLOOKUP(C533, Merchants!$A$2:$D$41, 2, FALSE), "Merchant not found")</f>
        <v/>
      </c>
      <c r="J533">
        <f>IFERROR(VLOOKUP(C533, Merchants!$A$2:$D$41, 3, FALSE), "Merchant not found")</f>
        <v/>
      </c>
      <c r="K533">
        <f>IFERROR(VLOOKUP(C533, Merchants!$A$2:$D$41, 4, FALSE), "Merchant not found")</f>
        <v/>
      </c>
      <c r="L533">
        <f>HLOOKUP(F533, Fee_Tiers!$B$1:$E$2, 2, FALSE)</f>
        <v/>
      </c>
      <c r="M533">
        <f>IF(AND(E533&gt;5000, K533&lt;&gt;"&gt;East"), "High-Value Merchant Day", "Standard")</f>
        <v/>
      </c>
    </row>
    <row r="534">
      <c r="A534" t="inlineStr">
        <is>
          <t>TXN300017</t>
        </is>
      </c>
      <c r="B534" t="n">
        <v>287</v>
      </c>
      <c r="C534" t="n">
        <v>12</v>
      </c>
      <c r="D534" t="inlineStr">
        <is>
          <t>2026-01-14 14:01:00</t>
        </is>
      </c>
      <c r="E534" t="n">
        <v>499</v>
      </c>
      <c r="F534" t="inlineStr">
        <is>
          <t>Card</t>
        </is>
      </c>
      <c r="G534" t="inlineStr">
        <is>
          <t>failed</t>
        </is>
      </c>
      <c r="H534" t="n">
        <v>87</v>
      </c>
      <c r="I534">
        <f>IFERROR(VLOOKUP(C534, Merchants!$A$2:$D$41, 2, FALSE), "Merchant not found")</f>
        <v/>
      </c>
      <c r="J534">
        <f>IFERROR(VLOOKUP(C534, Merchants!$A$2:$D$41, 3, FALSE), "Merchant not found")</f>
        <v/>
      </c>
      <c r="K534">
        <f>IFERROR(VLOOKUP(C534, Merchants!$A$2:$D$41, 4, FALSE), "Merchant not found")</f>
        <v/>
      </c>
      <c r="L534">
        <f>HLOOKUP(F534, Fee_Tiers!$B$1:$E$2, 2, FALSE)</f>
        <v/>
      </c>
      <c r="M534">
        <f>IF(AND(E534&gt;5000, K534&lt;&gt;"&gt;East"), "High-Value Merchant Day", "Standard")</f>
        <v/>
      </c>
    </row>
    <row r="535">
      <c r="A535" t="inlineStr">
        <is>
          <t>TXN300018</t>
        </is>
      </c>
      <c r="B535" t="n">
        <v>287</v>
      </c>
      <c r="C535" t="n">
        <v>26</v>
      </c>
      <c r="D535" t="inlineStr">
        <is>
          <t>2026-01-14 14:02:00</t>
        </is>
      </c>
      <c r="E535" t="n">
        <v>299</v>
      </c>
      <c r="F535" t="inlineStr">
        <is>
          <t>Card</t>
        </is>
      </c>
      <c r="G535" t="inlineStr">
        <is>
          <t>failed</t>
        </is>
      </c>
      <c r="H535" t="n">
        <v>72</v>
      </c>
      <c r="I535">
        <f>IFERROR(VLOOKUP(C535, Merchants!$A$2:$D$41, 2, FALSE), "Merchant not found")</f>
        <v/>
      </c>
      <c r="J535">
        <f>IFERROR(VLOOKUP(C535, Merchants!$A$2:$D$41, 3, FALSE), "Merchant not found")</f>
        <v/>
      </c>
      <c r="K535">
        <f>IFERROR(VLOOKUP(C535, Merchants!$A$2:$D$41, 4, FALSE), "Merchant not found")</f>
        <v/>
      </c>
      <c r="L535">
        <f>HLOOKUP(F535, Fee_Tiers!$B$1:$E$2, 2, FALSE)</f>
        <v/>
      </c>
      <c r="M535">
        <f>IF(AND(E535&gt;5000, K535&lt;&gt;"&gt;East"), "High-Value Merchant Day", "Standard")</f>
        <v/>
      </c>
    </row>
    <row r="536">
      <c r="A536" t="inlineStr">
        <is>
          <t>TXN300019</t>
        </is>
      </c>
      <c r="B536" t="n">
        <v>287</v>
      </c>
      <c r="C536" t="n">
        <v>29</v>
      </c>
      <c r="D536" t="inlineStr">
        <is>
          <t>2026-01-14 14:03:00</t>
        </is>
      </c>
      <c r="E536" t="n">
        <v>499</v>
      </c>
      <c r="F536" t="inlineStr">
        <is>
          <t>Card</t>
        </is>
      </c>
      <c r="G536" t="inlineStr">
        <is>
          <t>captured</t>
        </is>
      </c>
      <c r="H536" t="n">
        <v>87</v>
      </c>
      <c r="I536">
        <f>IFERROR(VLOOKUP(C536, Merchants!$A$2:$D$41, 2, FALSE), "Merchant not found")</f>
        <v/>
      </c>
      <c r="J536">
        <f>IFERROR(VLOOKUP(C536, Merchants!$A$2:$D$41, 3, FALSE), "Merchant not found")</f>
        <v/>
      </c>
      <c r="K536">
        <f>IFERROR(VLOOKUP(C536, Merchants!$A$2:$D$41, 4, FALSE), "Merchant not found")</f>
        <v/>
      </c>
      <c r="L536">
        <f>HLOOKUP(F536, Fee_Tiers!$B$1:$E$2, 2, FALSE)</f>
        <v/>
      </c>
      <c r="M536">
        <f>IF(AND(E536&gt;5000, K536&lt;&gt;"&gt;East"), "High-Value Merchant Day", "Standard")</f>
        <v/>
      </c>
    </row>
    <row r="537">
      <c r="A537" t="inlineStr">
        <is>
          <t>TXN300020</t>
        </is>
      </c>
      <c r="B537" t="n">
        <v>200</v>
      </c>
      <c r="C537" t="n">
        <v>14</v>
      </c>
      <c r="D537" t="inlineStr">
        <is>
          <t>2026-01-01 22:00:00</t>
        </is>
      </c>
      <c r="E537" t="n">
        <v>299</v>
      </c>
      <c r="F537" t="inlineStr">
        <is>
          <t>Card</t>
        </is>
      </c>
      <c r="G537" t="inlineStr">
        <is>
          <t>failed</t>
        </is>
      </c>
      <c r="H537" t="n">
        <v>77</v>
      </c>
      <c r="I537">
        <f>IFERROR(VLOOKUP(C537, Merchants!$A$2:$D$41, 2, FALSE), "Merchant not found")</f>
        <v/>
      </c>
      <c r="J537">
        <f>IFERROR(VLOOKUP(C537, Merchants!$A$2:$D$41, 3, FALSE), "Merchant not found")</f>
        <v/>
      </c>
      <c r="K537">
        <f>IFERROR(VLOOKUP(C537, Merchants!$A$2:$D$41, 4, FALSE), "Merchant not found")</f>
        <v/>
      </c>
      <c r="L537">
        <f>HLOOKUP(F537, Fee_Tiers!$B$1:$E$2, 2, FALSE)</f>
        <v/>
      </c>
      <c r="M537">
        <f>IF(AND(E537&gt;5000, K537&lt;&gt;"&gt;East"), "High-Value Merchant Day", "Standard")</f>
        <v/>
      </c>
    </row>
    <row r="538">
      <c r="A538" t="inlineStr">
        <is>
          <t>TXN300021</t>
        </is>
      </c>
      <c r="B538" t="n">
        <v>200</v>
      </c>
      <c r="C538" t="n">
        <v>5</v>
      </c>
      <c r="D538" t="inlineStr">
        <is>
          <t>2026-01-01 22:01:00</t>
        </is>
      </c>
      <c r="E538" t="n">
        <v>499</v>
      </c>
      <c r="F538" t="inlineStr">
        <is>
          <t>Card</t>
        </is>
      </c>
      <c r="G538" t="inlineStr">
        <is>
          <t>failed</t>
        </is>
      </c>
      <c r="H538" t="n">
        <v>66</v>
      </c>
      <c r="I538">
        <f>IFERROR(VLOOKUP(C538, Merchants!$A$2:$D$41, 2, FALSE), "Merchant not found")</f>
        <v/>
      </c>
      <c r="J538">
        <f>IFERROR(VLOOKUP(C538, Merchants!$A$2:$D$41, 3, FALSE), "Merchant not found")</f>
        <v/>
      </c>
      <c r="K538">
        <f>IFERROR(VLOOKUP(C538, Merchants!$A$2:$D$41, 4, FALSE), "Merchant not found")</f>
        <v/>
      </c>
      <c r="L538">
        <f>HLOOKUP(F538, Fee_Tiers!$B$1:$E$2, 2, FALSE)</f>
        <v/>
      </c>
      <c r="M538">
        <f>IF(AND(E538&gt;5000, K538&lt;&gt;"&gt;East"), "High-Value Merchant Day", "Standard")</f>
        <v/>
      </c>
    </row>
    <row r="539">
      <c r="A539" t="inlineStr">
        <is>
          <t>TXN300022</t>
        </is>
      </c>
      <c r="B539" t="n">
        <v>200</v>
      </c>
      <c r="C539" t="n">
        <v>35</v>
      </c>
      <c r="D539" t="inlineStr">
        <is>
          <t>2026-01-01 22:02:00</t>
        </is>
      </c>
      <c r="E539" t="n">
        <v>299</v>
      </c>
      <c r="F539" t="inlineStr">
        <is>
          <t>Card</t>
        </is>
      </c>
      <c r="G539" t="inlineStr">
        <is>
          <t>failed</t>
        </is>
      </c>
      <c r="H539" t="n">
        <v>83</v>
      </c>
      <c r="I539">
        <f>IFERROR(VLOOKUP(C539, Merchants!$A$2:$D$41, 2, FALSE), "Merchant not found")</f>
        <v/>
      </c>
      <c r="J539">
        <f>IFERROR(VLOOKUP(C539, Merchants!$A$2:$D$41, 3, FALSE), "Merchant not found")</f>
        <v/>
      </c>
      <c r="K539">
        <f>IFERROR(VLOOKUP(C539, Merchants!$A$2:$D$41, 4, FALSE), "Merchant not found")</f>
        <v/>
      </c>
      <c r="L539">
        <f>HLOOKUP(F539, Fee_Tiers!$B$1:$E$2, 2, FALSE)</f>
        <v/>
      </c>
      <c r="M539">
        <f>IF(AND(E539&gt;5000, K539&lt;&gt;"&gt;East"), "High-Value Merchant Day", "Standard")</f>
        <v/>
      </c>
    </row>
    <row r="540">
      <c r="A540" t="inlineStr">
        <is>
          <t>TXN300023</t>
        </is>
      </c>
      <c r="B540" t="n">
        <v>200</v>
      </c>
      <c r="C540" t="n">
        <v>21</v>
      </c>
      <c r="D540" t="inlineStr">
        <is>
          <t>2026-01-01 22:03:00</t>
        </is>
      </c>
      <c r="E540" t="n">
        <v>299</v>
      </c>
      <c r="F540" t="inlineStr">
        <is>
          <t>Card</t>
        </is>
      </c>
      <c r="G540" t="inlineStr">
        <is>
          <t>captured</t>
        </is>
      </c>
      <c r="H540" t="n">
        <v>89</v>
      </c>
      <c r="I540">
        <f>IFERROR(VLOOKUP(C540, Merchants!$A$2:$D$41, 2, FALSE), "Merchant not found")</f>
        <v/>
      </c>
      <c r="J540">
        <f>IFERROR(VLOOKUP(C540, Merchants!$A$2:$D$41, 3, FALSE), "Merchant not found")</f>
        <v/>
      </c>
      <c r="K540">
        <f>IFERROR(VLOOKUP(C540, Merchants!$A$2:$D$41, 4, FALSE), "Merchant not found")</f>
        <v/>
      </c>
      <c r="L540">
        <f>HLOOKUP(F540, Fee_Tiers!$B$1:$E$2, 2, FALSE)</f>
        <v/>
      </c>
      <c r="M540">
        <f>IF(AND(E540&gt;5000, K540&lt;&gt;"&gt;East"), "High-Value Merchant Day", "Standard")</f>
        <v/>
      </c>
    </row>
    <row r="541">
      <c r="A541" t="inlineStr">
        <is>
          <t>TXN300024</t>
        </is>
      </c>
      <c r="B541" t="n">
        <v>59</v>
      </c>
      <c r="C541" t="n">
        <v>32</v>
      </c>
      <c r="D541" t="inlineStr">
        <is>
          <t>2026-01-09 21:00:00</t>
        </is>
      </c>
      <c r="E541" t="n">
        <v>499</v>
      </c>
      <c r="F541" t="inlineStr">
        <is>
          <t>Card</t>
        </is>
      </c>
      <c r="G541" t="inlineStr">
        <is>
          <t>failed</t>
        </is>
      </c>
      <c r="H541" t="n">
        <v>80</v>
      </c>
      <c r="I541">
        <f>IFERROR(VLOOKUP(C541, Merchants!$A$2:$D$41, 2, FALSE), "Merchant not found")</f>
        <v/>
      </c>
      <c r="J541">
        <f>IFERROR(VLOOKUP(C541, Merchants!$A$2:$D$41, 3, FALSE), "Merchant not found")</f>
        <v/>
      </c>
      <c r="K541">
        <f>IFERROR(VLOOKUP(C541, Merchants!$A$2:$D$41, 4, FALSE), "Merchant not found")</f>
        <v/>
      </c>
      <c r="L541">
        <f>HLOOKUP(F541, Fee_Tiers!$B$1:$E$2, 2, FALSE)</f>
        <v/>
      </c>
      <c r="M541">
        <f>IF(AND(E541&gt;5000, K541&lt;&gt;"&gt;East"), "High-Value Merchant Day", "Standard")</f>
        <v/>
      </c>
    </row>
    <row r="542">
      <c r="A542" t="inlineStr">
        <is>
          <t>TXN300025</t>
        </is>
      </c>
      <c r="B542" t="n">
        <v>59</v>
      </c>
      <c r="C542" t="n">
        <v>39</v>
      </c>
      <c r="D542" t="inlineStr">
        <is>
          <t>2026-01-09 21:01:00</t>
        </is>
      </c>
      <c r="E542" t="n">
        <v>399</v>
      </c>
      <c r="F542" t="inlineStr">
        <is>
          <t>Card</t>
        </is>
      </c>
      <c r="G542" t="inlineStr">
        <is>
          <t>failed</t>
        </is>
      </c>
      <c r="H542" t="n">
        <v>85</v>
      </c>
      <c r="I542">
        <f>IFERROR(VLOOKUP(C542, Merchants!$A$2:$D$41, 2, FALSE), "Merchant not found")</f>
        <v/>
      </c>
      <c r="J542">
        <f>IFERROR(VLOOKUP(C542, Merchants!$A$2:$D$41, 3, FALSE), "Merchant not found")</f>
        <v/>
      </c>
      <c r="K542">
        <f>IFERROR(VLOOKUP(C542, Merchants!$A$2:$D$41, 4, FALSE), "Merchant not found")</f>
        <v/>
      </c>
      <c r="L542">
        <f>HLOOKUP(F542, Fee_Tiers!$B$1:$E$2, 2, FALSE)</f>
        <v/>
      </c>
      <c r="M542">
        <f>IF(AND(E542&gt;5000, K542&lt;&gt;"&gt;East"), "High-Value Merchant Day", "Standard")</f>
        <v/>
      </c>
    </row>
    <row r="543">
      <c r="A543" t="inlineStr">
        <is>
          <t>TXN300026</t>
        </is>
      </c>
      <c r="B543" t="n">
        <v>59</v>
      </c>
      <c r="C543" t="n">
        <v>38</v>
      </c>
      <c r="D543" t="inlineStr">
        <is>
          <t>2026-01-09 21:02:00</t>
        </is>
      </c>
      <c r="E543" t="n">
        <v>299</v>
      </c>
      <c r="F543" t="inlineStr">
        <is>
          <t>Card</t>
        </is>
      </c>
      <c r="G543" t="inlineStr">
        <is>
          <t>failed</t>
        </is>
      </c>
      <c r="H543" t="n">
        <v>82</v>
      </c>
      <c r="I543">
        <f>IFERROR(VLOOKUP(C543, Merchants!$A$2:$D$41, 2, FALSE), "Merchant not found")</f>
        <v/>
      </c>
      <c r="J543">
        <f>IFERROR(VLOOKUP(C543, Merchants!$A$2:$D$41, 3, FALSE), "Merchant not found")</f>
        <v/>
      </c>
      <c r="K543">
        <f>IFERROR(VLOOKUP(C543, Merchants!$A$2:$D$41, 4, FALSE), "Merchant not found")</f>
        <v/>
      </c>
      <c r="L543">
        <f>HLOOKUP(F543, Fee_Tiers!$B$1:$E$2, 2, FALSE)</f>
        <v/>
      </c>
      <c r="M543">
        <f>IF(AND(E543&gt;5000, K543&lt;&gt;"&gt;East"), "High-Value Merchant Day", "Standard")</f>
        <v/>
      </c>
    </row>
    <row r="544">
      <c r="A544" t="inlineStr">
        <is>
          <t>TXN300027</t>
        </is>
      </c>
      <c r="B544" t="n">
        <v>59</v>
      </c>
      <c r="C544" t="n">
        <v>23</v>
      </c>
      <c r="D544" t="inlineStr">
        <is>
          <t>2026-01-09 21:03:00</t>
        </is>
      </c>
      <c r="E544" t="n">
        <v>399</v>
      </c>
      <c r="F544" t="inlineStr">
        <is>
          <t>Card</t>
        </is>
      </c>
      <c r="G544" t="inlineStr">
        <is>
          <t>captured</t>
        </is>
      </c>
      <c r="H544" t="n">
        <v>71</v>
      </c>
      <c r="I544">
        <f>IFERROR(VLOOKUP(C544, Merchants!$A$2:$D$41, 2, FALSE), "Merchant not found")</f>
        <v/>
      </c>
      <c r="J544">
        <f>IFERROR(VLOOKUP(C544, Merchants!$A$2:$D$41, 3, FALSE), "Merchant not found")</f>
        <v/>
      </c>
      <c r="K544">
        <f>IFERROR(VLOOKUP(C544, Merchants!$A$2:$D$41, 4, FALSE), "Merchant not found")</f>
        <v/>
      </c>
      <c r="L544">
        <f>HLOOKUP(F544, Fee_Tiers!$B$1:$E$2, 2, FALSE)</f>
        <v/>
      </c>
      <c r="M544">
        <f>IF(AND(E544&gt;5000, K544&lt;&gt;"&gt;East"), "High-Value Merchant Day", "Standard")</f>
        <v/>
      </c>
    </row>
    <row r="545">
      <c r="A545" t="inlineStr">
        <is>
          <t>TXN300028</t>
        </is>
      </c>
      <c r="B545" t="n">
        <v>345</v>
      </c>
      <c r="C545" t="n">
        <v>40</v>
      </c>
      <c r="D545" t="inlineStr">
        <is>
          <t>2026-01-23 09:00:00</t>
        </is>
      </c>
      <c r="E545" t="n">
        <v>499</v>
      </c>
      <c r="F545" t="inlineStr">
        <is>
          <t>Card</t>
        </is>
      </c>
      <c r="G545" t="inlineStr">
        <is>
          <t>failed</t>
        </is>
      </c>
      <c r="H545" t="n">
        <v>65</v>
      </c>
      <c r="I545">
        <f>IFERROR(VLOOKUP(C545, Merchants!$A$2:$D$41, 2, FALSE), "Merchant not found")</f>
        <v/>
      </c>
      <c r="J545">
        <f>IFERROR(VLOOKUP(C545, Merchants!$A$2:$D$41, 3, FALSE), "Merchant not found")</f>
        <v/>
      </c>
      <c r="K545">
        <f>IFERROR(VLOOKUP(C545, Merchants!$A$2:$D$41, 4, FALSE), "Merchant not found")</f>
        <v/>
      </c>
      <c r="L545">
        <f>HLOOKUP(F545, Fee_Tiers!$B$1:$E$2, 2, FALSE)</f>
        <v/>
      </c>
      <c r="M545">
        <f>IF(AND(E545&gt;5000, K545&lt;&gt;"&gt;East"), "High-Value Merchant Day", "Standard")</f>
        <v/>
      </c>
    </row>
    <row r="546">
      <c r="A546" t="inlineStr">
        <is>
          <t>TXN300029</t>
        </is>
      </c>
      <c r="B546" t="n">
        <v>345</v>
      </c>
      <c r="C546" t="n">
        <v>9</v>
      </c>
      <c r="D546" t="inlineStr">
        <is>
          <t>2026-01-23 09:01:00</t>
        </is>
      </c>
      <c r="E546" t="n">
        <v>399</v>
      </c>
      <c r="F546" t="inlineStr">
        <is>
          <t>Card</t>
        </is>
      </c>
      <c r="G546" t="inlineStr">
        <is>
          <t>failed</t>
        </is>
      </c>
      <c r="H546" t="n">
        <v>67</v>
      </c>
      <c r="I546">
        <f>IFERROR(VLOOKUP(C546, Merchants!$A$2:$D$41, 2, FALSE), "Merchant not found")</f>
        <v/>
      </c>
      <c r="J546">
        <f>IFERROR(VLOOKUP(C546, Merchants!$A$2:$D$41, 3, FALSE), "Merchant not found")</f>
        <v/>
      </c>
      <c r="K546">
        <f>IFERROR(VLOOKUP(C546, Merchants!$A$2:$D$41, 4, FALSE), "Merchant not found")</f>
        <v/>
      </c>
      <c r="L546">
        <f>HLOOKUP(F546, Fee_Tiers!$B$1:$E$2, 2, FALSE)</f>
        <v/>
      </c>
      <c r="M546">
        <f>IF(AND(E546&gt;5000, K546&lt;&gt;"&gt;East"), "High-Value Merchant Day", "Standard")</f>
        <v/>
      </c>
    </row>
    <row r="547">
      <c r="A547" t="inlineStr">
        <is>
          <t>TXN300030</t>
        </is>
      </c>
      <c r="B547" t="n">
        <v>345</v>
      </c>
      <c r="C547" t="n">
        <v>16</v>
      </c>
      <c r="D547" t="inlineStr">
        <is>
          <t>2026-01-23 09:02:00</t>
        </is>
      </c>
      <c r="E547" t="n">
        <v>399</v>
      </c>
      <c r="F547" t="inlineStr">
        <is>
          <t>Card</t>
        </is>
      </c>
      <c r="G547" t="inlineStr">
        <is>
          <t>failed</t>
        </is>
      </c>
      <c r="H547" t="n">
        <v>67</v>
      </c>
      <c r="I547">
        <f>IFERROR(VLOOKUP(C547, Merchants!$A$2:$D$41, 2, FALSE), "Merchant not found")</f>
        <v/>
      </c>
      <c r="J547">
        <f>IFERROR(VLOOKUP(C547, Merchants!$A$2:$D$41, 3, FALSE), "Merchant not found")</f>
        <v/>
      </c>
      <c r="K547">
        <f>IFERROR(VLOOKUP(C547, Merchants!$A$2:$D$41, 4, FALSE), "Merchant not found")</f>
        <v/>
      </c>
      <c r="L547">
        <f>HLOOKUP(F547, Fee_Tiers!$B$1:$E$2, 2, FALSE)</f>
        <v/>
      </c>
      <c r="M547">
        <f>IF(AND(E547&gt;5000, K547&lt;&gt;"&gt;East"), "High-Value Merchant Day", "Standard")</f>
        <v/>
      </c>
    </row>
    <row r="548">
      <c r="A548" t="inlineStr">
        <is>
          <t>TXN300031</t>
        </is>
      </c>
      <c r="B548" t="n">
        <v>345</v>
      </c>
      <c r="C548" t="n">
        <v>12</v>
      </c>
      <c r="D548" t="inlineStr">
        <is>
          <t>2026-01-23 09:03:00</t>
        </is>
      </c>
      <c r="E548" t="n">
        <v>399</v>
      </c>
      <c r="F548" t="inlineStr">
        <is>
          <t>Card</t>
        </is>
      </c>
      <c r="G548" t="inlineStr">
        <is>
          <t>captured</t>
        </is>
      </c>
      <c r="H548" t="n">
        <v>69</v>
      </c>
      <c r="I548">
        <f>IFERROR(VLOOKUP(C548, Merchants!$A$2:$D$41, 2, FALSE), "Merchant not found")</f>
        <v/>
      </c>
      <c r="J548">
        <f>IFERROR(VLOOKUP(C548, Merchants!$A$2:$D$41, 3, FALSE), "Merchant not found")</f>
        <v/>
      </c>
      <c r="K548">
        <f>IFERROR(VLOOKUP(C548, Merchants!$A$2:$D$41, 4, FALSE), "Merchant not found")</f>
        <v/>
      </c>
      <c r="L548">
        <f>HLOOKUP(F548, Fee_Tiers!$B$1:$E$2, 2, FALSE)</f>
        <v/>
      </c>
      <c r="M548">
        <f>IF(AND(E548&gt;5000, K548&lt;&gt;"&gt;East"), "High-Value Merchant Day", "Standard")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Pivot: Total Amount and Count by Merchant ID &amp; Status ---</t>
        </is>
      </c>
    </row>
    <row r="2">
      <c r="A2" t="inlineStr">
        <is>
          <t>merchant_id</t>
        </is>
      </c>
      <c r="B2" t="inlineStr">
        <is>
          <t>status</t>
        </is>
      </c>
      <c r="C2" t="inlineStr">
        <is>
          <t>total_amount_inr</t>
        </is>
      </c>
      <c r="D2" t="inlineStr">
        <is>
          <t>txn_count</t>
        </is>
      </c>
    </row>
    <row r="3">
      <c r="A3" t="n">
        <v>1</v>
      </c>
      <c r="B3" t="inlineStr">
        <is>
          <t>captured</t>
        </is>
      </c>
      <c r="C3" t="n">
        <v>10142</v>
      </c>
      <c r="D3" t="n">
        <v>8</v>
      </c>
    </row>
    <row r="4">
      <c r="A4" t="n">
        <v>1</v>
      </c>
      <c r="B4" t="inlineStr">
        <is>
          <t>failed</t>
        </is>
      </c>
      <c r="C4" t="n">
        <v>299</v>
      </c>
      <c r="D4" t="n">
        <v>1</v>
      </c>
    </row>
    <row r="5">
      <c r="A5" t="n">
        <v>2</v>
      </c>
      <c r="B5" t="inlineStr">
        <is>
          <t>captured</t>
        </is>
      </c>
      <c r="C5" t="n">
        <v>3640</v>
      </c>
      <c r="D5" t="n">
        <v>10</v>
      </c>
    </row>
    <row r="6">
      <c r="A6" t="n">
        <v>3</v>
      </c>
      <c r="B6" t="inlineStr">
        <is>
          <t>captured</t>
        </is>
      </c>
      <c r="C6" t="n">
        <v>8084</v>
      </c>
      <c r="D6" t="n">
        <v>16</v>
      </c>
    </row>
    <row r="7">
      <c r="A7" t="n">
        <v>3</v>
      </c>
      <c r="B7" t="inlineStr">
        <is>
          <t>chargeback</t>
        </is>
      </c>
      <c r="C7" t="n">
        <v>149</v>
      </c>
      <c r="D7" t="n">
        <v>1</v>
      </c>
    </row>
    <row r="8">
      <c r="A8" t="n">
        <v>4</v>
      </c>
      <c r="B8" t="inlineStr">
        <is>
          <t>captured</t>
        </is>
      </c>
      <c r="C8" t="n">
        <v>6941</v>
      </c>
      <c r="D8" t="n">
        <v>9</v>
      </c>
    </row>
    <row r="9">
      <c r="A9" t="n">
        <v>5</v>
      </c>
      <c r="B9" t="inlineStr">
        <is>
          <t>captured</t>
        </is>
      </c>
      <c r="C9" t="n">
        <v>5340</v>
      </c>
      <c r="D9" t="n">
        <v>10</v>
      </c>
    </row>
    <row r="10">
      <c r="A10" t="n">
        <v>5</v>
      </c>
      <c r="B10" t="inlineStr">
        <is>
          <t>failed</t>
        </is>
      </c>
      <c r="C10" t="n">
        <v>499</v>
      </c>
      <c r="D10" t="n">
        <v>1</v>
      </c>
    </row>
    <row r="11">
      <c r="A11" t="n">
        <v>6</v>
      </c>
      <c r="B11" t="inlineStr">
        <is>
          <t>captured</t>
        </is>
      </c>
      <c r="C11" t="n">
        <v>6637</v>
      </c>
      <c r="D11" t="n">
        <v>13</v>
      </c>
    </row>
    <row r="12">
      <c r="A12" t="n">
        <v>6</v>
      </c>
      <c r="B12" t="inlineStr">
        <is>
          <t>chargeback</t>
        </is>
      </c>
      <c r="C12" t="n">
        <v>799</v>
      </c>
      <c r="D12" t="n">
        <v>1</v>
      </c>
    </row>
    <row r="13">
      <c r="A13" t="n">
        <v>7</v>
      </c>
      <c r="B13" t="inlineStr">
        <is>
          <t>captured</t>
        </is>
      </c>
      <c r="C13" t="n">
        <v>11638</v>
      </c>
      <c r="D13" t="n">
        <v>12</v>
      </c>
    </row>
    <row r="14">
      <c r="A14" t="n">
        <v>7</v>
      </c>
      <c r="B14" t="inlineStr">
        <is>
          <t>chargeback</t>
        </is>
      </c>
      <c r="C14" t="n">
        <v>1999</v>
      </c>
      <c r="D14" t="n">
        <v>1</v>
      </c>
    </row>
    <row r="15">
      <c r="A15" t="n">
        <v>7</v>
      </c>
      <c r="B15" t="inlineStr">
        <is>
          <t>failed</t>
        </is>
      </c>
      <c r="C15" t="n">
        <v>2297</v>
      </c>
      <c r="D15" t="n">
        <v>3</v>
      </c>
    </row>
    <row r="16">
      <c r="A16" t="n">
        <v>8</v>
      </c>
      <c r="B16" t="inlineStr">
        <is>
          <t>captured</t>
        </is>
      </c>
      <c r="C16" t="n">
        <v>7086</v>
      </c>
      <c r="D16" t="n">
        <v>14</v>
      </c>
    </row>
    <row r="17">
      <c r="A17" t="n">
        <v>8</v>
      </c>
      <c r="B17" t="inlineStr">
        <is>
          <t>chargeback</t>
        </is>
      </c>
      <c r="C17" t="n">
        <v>49</v>
      </c>
      <c r="D17" t="n">
        <v>1</v>
      </c>
    </row>
    <row r="18">
      <c r="A18" t="n">
        <v>8</v>
      </c>
      <c r="B18" t="inlineStr">
        <is>
          <t>failed</t>
        </is>
      </c>
      <c r="C18" t="n">
        <v>299</v>
      </c>
      <c r="D18" t="n">
        <v>1</v>
      </c>
    </row>
    <row r="19">
      <c r="A19" t="n">
        <v>9</v>
      </c>
      <c r="B19" t="inlineStr">
        <is>
          <t>captured</t>
        </is>
      </c>
      <c r="C19" t="n">
        <v>4485</v>
      </c>
      <c r="D19" t="n">
        <v>15</v>
      </c>
    </row>
    <row r="20">
      <c r="A20" t="n">
        <v>9</v>
      </c>
      <c r="B20" t="inlineStr">
        <is>
          <t>failed</t>
        </is>
      </c>
      <c r="C20" t="n">
        <v>497</v>
      </c>
      <c r="D20" t="n">
        <v>3</v>
      </c>
    </row>
    <row r="21">
      <c r="A21" t="n">
        <v>10</v>
      </c>
      <c r="B21" t="inlineStr">
        <is>
          <t>captured</t>
        </is>
      </c>
      <c r="C21" t="n">
        <v>7639</v>
      </c>
      <c r="D21" t="n">
        <v>11</v>
      </c>
    </row>
    <row r="22">
      <c r="A22" t="n">
        <v>10</v>
      </c>
      <c r="B22" t="inlineStr">
        <is>
          <t>chargeback</t>
        </is>
      </c>
      <c r="C22" t="n">
        <v>5048</v>
      </c>
      <c r="D22" t="n">
        <v>2</v>
      </c>
    </row>
    <row r="23">
      <c r="A23" t="n">
        <v>10</v>
      </c>
      <c r="B23" t="inlineStr">
        <is>
          <t>failed</t>
        </is>
      </c>
      <c r="C23" t="n">
        <v>399</v>
      </c>
      <c r="D23" t="n">
        <v>1</v>
      </c>
    </row>
    <row r="24">
      <c r="A24" t="n">
        <v>11</v>
      </c>
      <c r="B24" t="inlineStr">
        <is>
          <t>captured</t>
        </is>
      </c>
      <c r="C24" t="n">
        <v>9292</v>
      </c>
      <c r="D24" t="n">
        <v>8</v>
      </c>
    </row>
    <row r="25">
      <c r="A25" t="n">
        <v>11</v>
      </c>
      <c r="B25" t="inlineStr">
        <is>
          <t>chargeback</t>
        </is>
      </c>
      <c r="C25" t="n">
        <v>149</v>
      </c>
      <c r="D25" t="n">
        <v>1</v>
      </c>
    </row>
    <row r="26">
      <c r="A26" t="n">
        <v>11</v>
      </c>
      <c r="B26" t="inlineStr">
        <is>
          <t>failed</t>
        </is>
      </c>
      <c r="C26" t="n">
        <v>1499</v>
      </c>
      <c r="D26" t="n">
        <v>1</v>
      </c>
    </row>
    <row r="27">
      <c r="A27" t="n">
        <v>12</v>
      </c>
      <c r="B27" t="inlineStr">
        <is>
          <t>captured</t>
        </is>
      </c>
      <c r="C27" t="n">
        <v>9389</v>
      </c>
      <c r="D27" t="n">
        <v>11</v>
      </c>
    </row>
    <row r="28">
      <c r="A28" t="n">
        <v>12</v>
      </c>
      <c r="B28" t="inlineStr">
        <is>
          <t>failed</t>
        </is>
      </c>
      <c r="C28" t="n">
        <v>998</v>
      </c>
      <c r="D28" t="n">
        <v>2</v>
      </c>
    </row>
    <row r="29">
      <c r="A29" t="n">
        <v>13</v>
      </c>
      <c r="B29" t="inlineStr">
        <is>
          <t>captured</t>
        </is>
      </c>
      <c r="C29" t="n">
        <v>10390</v>
      </c>
      <c r="D29" t="n">
        <v>10</v>
      </c>
    </row>
    <row r="30">
      <c r="A30" t="n">
        <v>13</v>
      </c>
      <c r="B30" t="inlineStr">
        <is>
          <t>chargeback</t>
        </is>
      </c>
      <c r="C30" t="n">
        <v>4999</v>
      </c>
      <c r="D30" t="n">
        <v>1</v>
      </c>
    </row>
    <row r="31">
      <c r="A31" t="n">
        <v>13</v>
      </c>
      <c r="B31" t="inlineStr">
        <is>
          <t>failed</t>
        </is>
      </c>
      <c r="C31" t="n">
        <v>2999</v>
      </c>
      <c r="D31" t="n">
        <v>1</v>
      </c>
    </row>
    <row r="32">
      <c r="A32" t="n">
        <v>14</v>
      </c>
      <c r="B32" t="inlineStr">
        <is>
          <t>captured</t>
        </is>
      </c>
      <c r="C32" t="n">
        <v>6189</v>
      </c>
      <c r="D32" t="n">
        <v>11</v>
      </c>
    </row>
    <row r="33">
      <c r="A33" t="n">
        <v>14</v>
      </c>
      <c r="B33" t="inlineStr">
        <is>
          <t>failed</t>
        </is>
      </c>
      <c r="C33" t="n">
        <v>299</v>
      </c>
      <c r="D33" t="n">
        <v>1</v>
      </c>
    </row>
    <row r="34">
      <c r="A34" t="n">
        <v>15</v>
      </c>
      <c r="B34" t="inlineStr">
        <is>
          <t>captured</t>
        </is>
      </c>
      <c r="C34" t="n">
        <v>7439</v>
      </c>
      <c r="D34" t="n">
        <v>11</v>
      </c>
    </row>
    <row r="35">
      <c r="A35" t="n">
        <v>15</v>
      </c>
      <c r="B35" t="inlineStr">
        <is>
          <t>failed</t>
        </is>
      </c>
      <c r="C35" t="n">
        <v>399</v>
      </c>
      <c r="D35" t="n">
        <v>1</v>
      </c>
    </row>
    <row r="36">
      <c r="A36" t="n">
        <v>16</v>
      </c>
      <c r="B36" t="inlineStr">
        <is>
          <t>captured</t>
        </is>
      </c>
      <c r="C36" t="n">
        <v>10183</v>
      </c>
      <c r="D36" t="n">
        <v>17</v>
      </c>
    </row>
    <row r="37">
      <c r="A37" t="n">
        <v>16</v>
      </c>
      <c r="B37" t="inlineStr">
        <is>
          <t>failed</t>
        </is>
      </c>
      <c r="C37" t="n">
        <v>947</v>
      </c>
      <c r="D37" t="n">
        <v>3</v>
      </c>
    </row>
    <row r="38">
      <c r="A38" t="n">
        <v>17</v>
      </c>
      <c r="B38" t="inlineStr">
        <is>
          <t>captured</t>
        </is>
      </c>
      <c r="C38" t="n">
        <v>12738</v>
      </c>
      <c r="D38" t="n">
        <v>12</v>
      </c>
    </row>
    <row r="39">
      <c r="A39" t="n">
        <v>17</v>
      </c>
      <c r="B39" t="inlineStr">
        <is>
          <t>failed</t>
        </is>
      </c>
      <c r="C39" t="n">
        <v>299</v>
      </c>
      <c r="D39" t="n">
        <v>1</v>
      </c>
    </row>
    <row r="40">
      <c r="A40" t="n">
        <v>18</v>
      </c>
      <c r="B40" t="inlineStr">
        <is>
          <t>captured</t>
        </is>
      </c>
      <c r="C40" t="n">
        <v>7089</v>
      </c>
      <c r="D40" t="n">
        <v>11</v>
      </c>
    </row>
    <row r="41">
      <c r="A41" t="n">
        <v>19</v>
      </c>
      <c r="B41" t="inlineStr">
        <is>
          <t>captured</t>
        </is>
      </c>
      <c r="C41" t="n">
        <v>7239</v>
      </c>
      <c r="D41" t="n">
        <v>11</v>
      </c>
    </row>
    <row r="42">
      <c r="A42" t="n">
        <v>19</v>
      </c>
      <c r="B42" t="inlineStr">
        <is>
          <t>chargeback</t>
        </is>
      </c>
      <c r="C42" t="n">
        <v>4999</v>
      </c>
      <c r="D42" t="n">
        <v>1</v>
      </c>
    </row>
    <row r="43">
      <c r="A43" t="n">
        <v>19</v>
      </c>
      <c r="B43" t="inlineStr">
        <is>
          <t>failed</t>
        </is>
      </c>
      <c r="C43" t="n">
        <v>598</v>
      </c>
      <c r="D43" t="n">
        <v>2</v>
      </c>
    </row>
    <row r="44">
      <c r="A44" t="n">
        <v>20</v>
      </c>
      <c r="B44" t="inlineStr">
        <is>
          <t>captured</t>
        </is>
      </c>
      <c r="C44" t="n">
        <v>4192</v>
      </c>
      <c r="D44" t="n">
        <v>8</v>
      </c>
    </row>
    <row r="45">
      <c r="A45" t="n">
        <v>20</v>
      </c>
      <c r="B45" t="inlineStr">
        <is>
          <t>failed</t>
        </is>
      </c>
      <c r="C45" t="n">
        <v>49</v>
      </c>
      <c r="D45" t="n">
        <v>1</v>
      </c>
    </row>
    <row r="46">
      <c r="A46" t="n">
        <v>21</v>
      </c>
      <c r="B46" t="inlineStr">
        <is>
          <t>captured</t>
        </is>
      </c>
      <c r="C46" t="n">
        <v>3887</v>
      </c>
      <c r="D46" t="n">
        <v>13</v>
      </c>
    </row>
    <row r="47">
      <c r="A47" t="n">
        <v>21</v>
      </c>
      <c r="B47" t="inlineStr">
        <is>
          <t>failed</t>
        </is>
      </c>
      <c r="C47" t="n">
        <v>4999</v>
      </c>
      <c r="D47" t="n">
        <v>1</v>
      </c>
    </row>
    <row r="48">
      <c r="A48" t="n">
        <v>22</v>
      </c>
      <c r="B48" t="inlineStr">
        <is>
          <t>captured</t>
        </is>
      </c>
      <c r="C48" t="n">
        <v>11336</v>
      </c>
      <c r="D48" t="n">
        <v>14</v>
      </c>
    </row>
    <row r="49">
      <c r="A49" t="n">
        <v>22</v>
      </c>
      <c r="B49" t="inlineStr">
        <is>
          <t>failed</t>
        </is>
      </c>
      <c r="C49" t="n">
        <v>1198</v>
      </c>
      <c r="D49" t="n">
        <v>2</v>
      </c>
    </row>
    <row r="50">
      <c r="A50" t="n">
        <v>23</v>
      </c>
      <c r="B50" t="inlineStr">
        <is>
          <t>captured</t>
        </is>
      </c>
      <c r="C50" t="n">
        <v>1041</v>
      </c>
      <c r="D50" t="n">
        <v>9</v>
      </c>
    </row>
    <row r="51">
      <c r="A51" t="n">
        <v>23</v>
      </c>
      <c r="B51" t="inlineStr">
        <is>
          <t>chargeback</t>
        </is>
      </c>
      <c r="C51" t="n">
        <v>1999</v>
      </c>
      <c r="D51" t="n">
        <v>1</v>
      </c>
    </row>
    <row r="52">
      <c r="A52" t="n">
        <v>24</v>
      </c>
      <c r="B52" t="inlineStr">
        <is>
          <t>captured</t>
        </is>
      </c>
      <c r="C52" t="n">
        <v>3438</v>
      </c>
      <c r="D52" t="n">
        <v>12</v>
      </c>
    </row>
    <row r="53">
      <c r="A53" t="n">
        <v>24</v>
      </c>
      <c r="B53" t="inlineStr">
        <is>
          <t>chargeback</t>
        </is>
      </c>
      <c r="C53" t="n">
        <v>149</v>
      </c>
      <c r="D53" t="n">
        <v>1</v>
      </c>
    </row>
    <row r="54">
      <c r="A54" t="n">
        <v>25</v>
      </c>
      <c r="B54" t="inlineStr">
        <is>
          <t>captured</t>
        </is>
      </c>
      <c r="C54" t="n">
        <v>12534</v>
      </c>
      <c r="D54" t="n">
        <v>16</v>
      </c>
    </row>
    <row r="55">
      <c r="A55" t="n">
        <v>25</v>
      </c>
      <c r="B55" t="inlineStr">
        <is>
          <t>chargeback</t>
        </is>
      </c>
      <c r="C55" t="n">
        <v>2999</v>
      </c>
      <c r="D55" t="n">
        <v>1</v>
      </c>
    </row>
    <row r="56">
      <c r="A56" t="n">
        <v>26</v>
      </c>
      <c r="B56" t="inlineStr">
        <is>
          <t>captured</t>
        </is>
      </c>
      <c r="C56" t="n">
        <v>2991</v>
      </c>
      <c r="D56" t="n">
        <v>9</v>
      </c>
    </row>
    <row r="57">
      <c r="A57" t="n">
        <v>26</v>
      </c>
      <c r="B57" t="inlineStr">
        <is>
          <t>failed</t>
        </is>
      </c>
      <c r="C57" t="n">
        <v>2197</v>
      </c>
      <c r="D57" t="n">
        <v>3</v>
      </c>
    </row>
    <row r="58">
      <c r="A58" t="n">
        <v>27</v>
      </c>
      <c r="B58" t="inlineStr">
        <is>
          <t>captured</t>
        </is>
      </c>
      <c r="C58" t="n">
        <v>8038</v>
      </c>
      <c r="D58" t="n">
        <v>12</v>
      </c>
    </row>
    <row r="59">
      <c r="A59" t="n">
        <v>27</v>
      </c>
      <c r="B59" t="inlineStr">
        <is>
          <t>chargeback</t>
        </is>
      </c>
      <c r="C59" t="n">
        <v>4047</v>
      </c>
      <c r="D59" t="n">
        <v>3</v>
      </c>
    </row>
    <row r="60">
      <c r="A60" t="n">
        <v>27</v>
      </c>
      <c r="B60" t="inlineStr">
        <is>
          <t>failed</t>
        </is>
      </c>
      <c r="C60" t="n">
        <v>1499</v>
      </c>
      <c r="D60" t="n">
        <v>1</v>
      </c>
    </row>
    <row r="61">
      <c r="A61" t="n">
        <v>28</v>
      </c>
      <c r="B61" t="inlineStr">
        <is>
          <t>captured</t>
        </is>
      </c>
      <c r="C61" t="n">
        <v>4493</v>
      </c>
      <c r="D61" t="n">
        <v>7</v>
      </c>
    </row>
    <row r="62">
      <c r="A62" t="n">
        <v>28</v>
      </c>
      <c r="B62" t="inlineStr">
        <is>
          <t>chargeback</t>
        </is>
      </c>
      <c r="C62" t="n">
        <v>1999</v>
      </c>
      <c r="D62" t="n">
        <v>1</v>
      </c>
    </row>
    <row r="63">
      <c r="A63" t="n">
        <v>28</v>
      </c>
      <c r="B63" t="inlineStr">
        <is>
          <t>failed</t>
        </is>
      </c>
      <c r="C63" t="n">
        <v>3048</v>
      </c>
      <c r="D63" t="n">
        <v>2</v>
      </c>
    </row>
    <row r="64">
      <c r="A64" t="n">
        <v>29</v>
      </c>
      <c r="B64" t="inlineStr">
        <is>
          <t>captured</t>
        </is>
      </c>
      <c r="C64" t="n">
        <v>5686</v>
      </c>
      <c r="D64" t="n">
        <v>14</v>
      </c>
    </row>
    <row r="65">
      <c r="A65" t="n">
        <v>29</v>
      </c>
      <c r="B65" t="inlineStr">
        <is>
          <t>chargeback</t>
        </is>
      </c>
      <c r="C65" t="n">
        <v>3897</v>
      </c>
      <c r="D65" t="n">
        <v>3</v>
      </c>
    </row>
    <row r="66">
      <c r="A66" t="n">
        <v>29</v>
      </c>
      <c r="B66" t="inlineStr">
        <is>
          <t>failed</t>
        </is>
      </c>
      <c r="C66" t="n">
        <v>3498</v>
      </c>
      <c r="D66" t="n">
        <v>2</v>
      </c>
    </row>
    <row r="67">
      <c r="A67" t="n">
        <v>30</v>
      </c>
      <c r="B67" t="inlineStr">
        <is>
          <t>captured</t>
        </is>
      </c>
      <c r="C67" t="n">
        <v>7384</v>
      </c>
      <c r="D67" t="n">
        <v>16</v>
      </c>
    </row>
    <row r="68">
      <c r="A68" t="n">
        <v>30</v>
      </c>
      <c r="B68" t="inlineStr">
        <is>
          <t>failed</t>
        </is>
      </c>
      <c r="C68" t="n">
        <v>499</v>
      </c>
      <c r="D68" t="n">
        <v>1</v>
      </c>
    </row>
    <row r="69">
      <c r="A69" t="n">
        <v>31</v>
      </c>
      <c r="B69" t="inlineStr">
        <is>
          <t>captured</t>
        </is>
      </c>
      <c r="C69" t="n">
        <v>2640</v>
      </c>
      <c r="D69" t="n">
        <v>10</v>
      </c>
    </row>
    <row r="70">
      <c r="A70" t="n">
        <v>31</v>
      </c>
      <c r="B70" t="inlineStr">
        <is>
          <t>chargeback</t>
        </is>
      </c>
      <c r="C70" t="n">
        <v>49</v>
      </c>
      <c r="D70" t="n">
        <v>1</v>
      </c>
    </row>
    <row r="71">
      <c r="A71" t="n">
        <v>31</v>
      </c>
      <c r="B71" t="inlineStr">
        <is>
          <t>failed</t>
        </is>
      </c>
      <c r="C71" t="n">
        <v>2146</v>
      </c>
      <c r="D71" t="n">
        <v>4</v>
      </c>
    </row>
    <row r="72">
      <c r="A72" t="n">
        <v>32</v>
      </c>
      <c r="B72" t="inlineStr">
        <is>
          <t>captured</t>
        </is>
      </c>
      <c r="C72" t="n">
        <v>2589</v>
      </c>
      <c r="D72" t="n">
        <v>11</v>
      </c>
    </row>
    <row r="73">
      <c r="A73" t="n">
        <v>32</v>
      </c>
      <c r="B73" t="inlineStr">
        <is>
          <t>chargeback</t>
        </is>
      </c>
      <c r="C73" t="n">
        <v>1999</v>
      </c>
      <c r="D73" t="n">
        <v>1</v>
      </c>
    </row>
    <row r="74">
      <c r="A74" t="n">
        <v>32</v>
      </c>
      <c r="B74" t="inlineStr">
        <is>
          <t>failed</t>
        </is>
      </c>
      <c r="C74" t="n">
        <v>3498</v>
      </c>
      <c r="D74" t="n">
        <v>2</v>
      </c>
    </row>
    <row r="75">
      <c r="A75" t="n">
        <v>33</v>
      </c>
      <c r="B75" t="inlineStr">
        <is>
          <t>captured</t>
        </is>
      </c>
      <c r="C75" t="n">
        <v>10190</v>
      </c>
      <c r="D75" t="n">
        <v>10</v>
      </c>
    </row>
    <row r="76">
      <c r="A76" t="n">
        <v>33</v>
      </c>
      <c r="B76" t="inlineStr">
        <is>
          <t>failed</t>
        </is>
      </c>
      <c r="C76" t="n">
        <v>149</v>
      </c>
      <c r="D76" t="n">
        <v>1</v>
      </c>
    </row>
    <row r="77">
      <c r="A77" t="n">
        <v>34</v>
      </c>
      <c r="B77" t="inlineStr">
        <is>
          <t>captured</t>
        </is>
      </c>
      <c r="C77" t="n">
        <v>9635</v>
      </c>
      <c r="D77" t="n">
        <v>15</v>
      </c>
    </row>
    <row r="78">
      <c r="A78" t="n">
        <v>34</v>
      </c>
      <c r="B78" t="inlineStr">
        <is>
          <t>failed</t>
        </is>
      </c>
      <c r="C78" t="n">
        <v>399</v>
      </c>
      <c r="D78" t="n">
        <v>1</v>
      </c>
    </row>
    <row r="79">
      <c r="A79" t="n">
        <v>35</v>
      </c>
      <c r="B79" t="inlineStr">
        <is>
          <t>captured</t>
        </is>
      </c>
      <c r="C79" t="n">
        <v>8688</v>
      </c>
      <c r="D79" t="n">
        <v>12</v>
      </c>
    </row>
    <row r="80">
      <c r="A80" t="n">
        <v>35</v>
      </c>
      <c r="B80" t="inlineStr">
        <is>
          <t>failed</t>
        </is>
      </c>
      <c r="C80" t="n">
        <v>598</v>
      </c>
      <c r="D80" t="n">
        <v>2</v>
      </c>
    </row>
    <row r="81">
      <c r="A81" t="n">
        <v>36</v>
      </c>
      <c r="B81" t="inlineStr">
        <is>
          <t>captured</t>
        </is>
      </c>
      <c r="C81" t="n">
        <v>11535</v>
      </c>
      <c r="D81" t="n">
        <v>15</v>
      </c>
    </row>
    <row r="82">
      <c r="A82" t="n">
        <v>36</v>
      </c>
      <c r="B82" t="inlineStr">
        <is>
          <t>chargeback</t>
        </is>
      </c>
      <c r="C82" t="n">
        <v>999</v>
      </c>
      <c r="D82" t="n">
        <v>1</v>
      </c>
    </row>
    <row r="83">
      <c r="A83" t="n">
        <v>37</v>
      </c>
      <c r="B83" t="inlineStr">
        <is>
          <t>captured</t>
        </is>
      </c>
      <c r="C83" t="n">
        <v>10833</v>
      </c>
      <c r="D83" t="n">
        <v>17</v>
      </c>
    </row>
    <row r="84">
      <c r="A84" t="n">
        <v>37</v>
      </c>
      <c r="B84" t="inlineStr">
        <is>
          <t>chargeback</t>
        </is>
      </c>
      <c r="C84" t="n">
        <v>1999</v>
      </c>
      <c r="D84" t="n">
        <v>1</v>
      </c>
    </row>
    <row r="85">
      <c r="A85" t="n">
        <v>37</v>
      </c>
      <c r="B85" t="inlineStr">
        <is>
          <t>failed</t>
        </is>
      </c>
      <c r="C85" t="n">
        <v>99</v>
      </c>
      <c r="D85" t="n">
        <v>1</v>
      </c>
    </row>
    <row r="86">
      <c r="A86" t="n">
        <v>38</v>
      </c>
      <c r="B86" t="inlineStr">
        <is>
          <t>captured</t>
        </is>
      </c>
      <c r="C86" t="n">
        <v>3342</v>
      </c>
      <c r="D86" t="n">
        <v>8</v>
      </c>
    </row>
    <row r="87">
      <c r="A87" t="n">
        <v>38</v>
      </c>
      <c r="B87" t="inlineStr">
        <is>
          <t>failed</t>
        </is>
      </c>
      <c r="C87" t="n">
        <v>598</v>
      </c>
      <c r="D87" t="n">
        <v>2</v>
      </c>
    </row>
    <row r="88">
      <c r="A88" t="n">
        <v>39</v>
      </c>
      <c r="B88" t="inlineStr">
        <is>
          <t>captured</t>
        </is>
      </c>
      <c r="C88" t="n">
        <v>11291</v>
      </c>
      <c r="D88" t="n">
        <v>9</v>
      </c>
    </row>
    <row r="89">
      <c r="A89" t="n">
        <v>39</v>
      </c>
      <c r="B89" t="inlineStr">
        <is>
          <t>chargeback</t>
        </is>
      </c>
      <c r="C89" t="n">
        <v>10997</v>
      </c>
      <c r="D89" t="n">
        <v>3</v>
      </c>
    </row>
    <row r="90">
      <c r="A90" t="n">
        <v>39</v>
      </c>
      <c r="B90" t="inlineStr">
        <is>
          <t>failed</t>
        </is>
      </c>
      <c r="C90" t="n">
        <v>399</v>
      </c>
      <c r="D90" t="n">
        <v>1</v>
      </c>
    </row>
    <row r="91">
      <c r="A91" t="n">
        <v>40</v>
      </c>
      <c r="B91" t="inlineStr">
        <is>
          <t>captured</t>
        </is>
      </c>
      <c r="C91" t="n">
        <v>3039</v>
      </c>
      <c r="D91" t="n">
        <v>11</v>
      </c>
    </row>
    <row r="92">
      <c r="A92" t="n">
        <v>40</v>
      </c>
      <c r="B92" t="inlineStr">
        <is>
          <t>chargeback</t>
        </is>
      </c>
      <c r="C92" t="n">
        <v>5148</v>
      </c>
      <c r="D92" t="n">
        <v>2</v>
      </c>
    </row>
    <row r="93">
      <c r="A93" t="n">
        <v>40</v>
      </c>
      <c r="B93" t="inlineStr">
        <is>
          <t>failed</t>
        </is>
      </c>
      <c r="C93" t="n">
        <v>548</v>
      </c>
      <c r="D93" t="n">
        <v>2</v>
      </c>
    </row>
    <row r="95">
      <c r="A95" t="inlineStr">
        <is>
          <t>--- Count vs Count-Unique (Active Transacted Days) ---</t>
        </is>
      </c>
    </row>
    <row r="96">
      <c r="A96" t="inlineStr">
        <is>
          <t>merchant_id</t>
        </is>
      </c>
      <c r="B96" t="inlineStr">
        <is>
          <t>total_transactions</t>
        </is>
      </c>
      <c r="C96" t="inlineStr">
        <is>
          <t>unique_transacted_days</t>
        </is>
      </c>
    </row>
    <row r="97">
      <c r="A97" t="n">
        <v>1</v>
      </c>
      <c r="B97" t="n">
        <v>9</v>
      </c>
      <c r="C97" t="n">
        <v>7</v>
      </c>
    </row>
    <row r="98">
      <c r="A98" t="n">
        <v>2</v>
      </c>
      <c r="B98" t="n">
        <v>10</v>
      </c>
      <c r="C98" t="n">
        <v>9</v>
      </c>
    </row>
    <row r="99">
      <c r="A99" t="n">
        <v>3</v>
      </c>
      <c r="B99" t="n">
        <v>17</v>
      </c>
      <c r="C99" t="n">
        <v>13</v>
      </c>
    </row>
    <row r="100">
      <c r="A100" t="n">
        <v>4</v>
      </c>
      <c r="B100" t="n">
        <v>9</v>
      </c>
      <c r="C100" t="n">
        <v>7</v>
      </c>
    </row>
    <row r="101">
      <c r="A101" t="n">
        <v>5</v>
      </c>
      <c r="B101" t="n">
        <v>11</v>
      </c>
      <c r="C101" t="n">
        <v>9</v>
      </c>
    </row>
    <row r="102">
      <c r="A102" t="n">
        <v>6</v>
      </c>
      <c r="B102" t="n">
        <v>14</v>
      </c>
      <c r="C102" t="n">
        <v>12</v>
      </c>
    </row>
    <row r="103">
      <c r="A103" t="n">
        <v>7</v>
      </c>
      <c r="B103" t="n">
        <v>16</v>
      </c>
      <c r="C103" t="n">
        <v>11</v>
      </c>
    </row>
    <row r="104">
      <c r="A104" t="n">
        <v>8</v>
      </c>
      <c r="B104" t="n">
        <v>16</v>
      </c>
      <c r="C104" t="n">
        <v>13</v>
      </c>
    </row>
    <row r="105">
      <c r="A105" t="n">
        <v>9</v>
      </c>
      <c r="B105" t="n">
        <v>18</v>
      </c>
      <c r="C105" t="n">
        <v>14</v>
      </c>
    </row>
    <row r="106">
      <c r="A106" t="n">
        <v>10</v>
      </c>
      <c r="B106" t="n">
        <v>14</v>
      </c>
      <c r="C1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2026-08-31T17:25:49Z</dcterms:created>
  <dcterms:modified xsi:type="dcterms:W3CDTF">2026-08-31T17:25:49Z</dcterms:modified>
</cp:coreProperties>
</file>